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ywork\coorb-qa-assessment\task-1\"/>
    </mc:Choice>
  </mc:AlternateContent>
  <xr:revisionPtr revIDLastSave="0" documentId="13_ncr:1_{8C16C64C-72ED-4CE1-9FBC-BC984C3DBA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verview" sheetId="1" r:id="rId1"/>
    <sheet name="1.1 Questions" sheetId="2" r:id="rId2"/>
    <sheet name="Requirements" sheetId="3" r:id="rId3"/>
    <sheet name="1.2 Risk Register" sheetId="4" r:id="rId4"/>
    <sheet name="1.3 Test Cases" sheetId="5" r:id="rId5"/>
    <sheet name="Traceability" sheetId="6" r:id="rId6"/>
    <sheet name="1.4 Coverage" sheetId="7" r:id="rId7"/>
  </sheets>
  <definedNames>
    <definedName name="_xlnm._FilterDatabase" localSheetId="1" hidden="1">'1.1 Questions'!$A$1:$E$13</definedName>
    <definedName name="_xlnm._FilterDatabase" localSheetId="3" hidden="1">'1.2 Risk Register'!$A$1:$M$7</definedName>
    <definedName name="_xlnm._FilterDatabase" localSheetId="4" hidden="1">'1.3 Test Cases'!$A$1:$L$13</definedName>
    <definedName name="_xlnm._FilterDatabase" localSheetId="2" hidden="1">Requirements!$A$1:$D$13</definedName>
    <definedName name="_xlnm.Print_Titles" localSheetId="1">'1.1 Questions'!$1:$1</definedName>
    <definedName name="_xlnm.Print_Titles" localSheetId="3">'1.2 Risk Register'!$1:$1</definedName>
    <definedName name="_xlnm.Print_Titles" localSheetId="4">'1.3 Test Cases'!$1:$1</definedName>
    <definedName name="_xlnm.Print_Titles" localSheetId="2">Requirements!$1:$1</definedName>
  </definedNames>
  <calcPr calcId="181029"/>
</workbook>
</file>

<file path=xl/calcChain.xml><?xml version="1.0" encoding="utf-8"?>
<calcChain xmlns="http://schemas.openxmlformats.org/spreadsheetml/2006/main">
  <c r="B24" i="6" l="1"/>
  <c r="A24" i="6"/>
  <c r="I24" i="6" s="1"/>
  <c r="K23" i="6"/>
  <c r="H23" i="6"/>
  <c r="G23" i="6"/>
  <c r="B23" i="6"/>
  <c r="A23" i="6"/>
  <c r="J23" i="6" s="1"/>
  <c r="L22" i="6"/>
  <c r="H22" i="6"/>
  <c r="G22" i="6"/>
  <c r="D22" i="6"/>
  <c r="B22" i="6"/>
  <c r="A22" i="6"/>
  <c r="K22" i="6" s="1"/>
  <c r="B21" i="6"/>
  <c r="A21" i="6"/>
  <c r="L21" i="6" s="1"/>
  <c r="H20" i="6"/>
  <c r="B20" i="6"/>
  <c r="A20" i="6"/>
  <c r="N20" i="6" s="1"/>
  <c r="B19" i="6"/>
  <c r="A19" i="6"/>
  <c r="J19" i="6" s="1"/>
  <c r="B14" i="6"/>
  <c r="A14" i="6"/>
  <c r="J14" i="6" s="1"/>
  <c r="B13" i="6"/>
  <c r="A13" i="6"/>
  <c r="K13" i="6" s="1"/>
  <c r="K12" i="6"/>
  <c r="G12" i="6"/>
  <c r="B12" i="6"/>
  <c r="A12" i="6"/>
  <c r="K11" i="6"/>
  <c r="J11" i="6"/>
  <c r="I11" i="6"/>
  <c r="H11" i="6"/>
  <c r="G11" i="6"/>
  <c r="C11" i="6"/>
  <c r="B11" i="6"/>
  <c r="A11" i="6"/>
  <c r="G10" i="6"/>
  <c r="B10" i="6"/>
  <c r="A10" i="6"/>
  <c r="I10" i="6" s="1"/>
  <c r="B9" i="6"/>
  <c r="A9" i="6"/>
  <c r="J9" i="6" s="1"/>
  <c r="B8" i="6"/>
  <c r="A8" i="6"/>
  <c r="G8" i="6" s="1"/>
  <c r="L7" i="6"/>
  <c r="B7" i="6"/>
  <c r="A7" i="6"/>
  <c r="J7" i="6" s="1"/>
  <c r="J6" i="6"/>
  <c r="I6" i="6"/>
  <c r="B6" i="6"/>
  <c r="A6" i="6"/>
  <c r="G6" i="6" s="1"/>
  <c r="L5" i="6"/>
  <c r="J5" i="6"/>
  <c r="I5" i="6"/>
  <c r="B5" i="6"/>
  <c r="A5" i="6"/>
  <c r="G5" i="6" s="1"/>
  <c r="J4" i="6"/>
  <c r="I4" i="6"/>
  <c r="H4" i="6"/>
  <c r="B4" i="6"/>
  <c r="A4" i="6"/>
  <c r="G4" i="6" s="1"/>
  <c r="L3" i="6"/>
  <c r="J3" i="6"/>
  <c r="I3" i="6"/>
  <c r="G3" i="6"/>
  <c r="B3" i="6"/>
  <c r="A3" i="6"/>
  <c r="D3" i="6" s="1"/>
  <c r="F7" i="4"/>
  <c r="G7" i="4" s="1"/>
  <c r="Q24" i="6" s="1"/>
  <c r="F6" i="4"/>
  <c r="G6" i="4" s="1"/>
  <c r="Q23" i="6" s="1"/>
  <c r="F5" i="4"/>
  <c r="G5" i="4" s="1"/>
  <c r="Q22" i="6" s="1"/>
  <c r="F4" i="4"/>
  <c r="G4" i="4" s="1"/>
  <c r="Q21" i="6" s="1"/>
  <c r="F3" i="4"/>
  <c r="G3" i="4" s="1"/>
  <c r="Q20" i="6" s="1"/>
  <c r="F2" i="4"/>
  <c r="G2" i="4" s="1"/>
  <c r="Q19" i="6" s="1"/>
  <c r="C9" i="6" l="1"/>
  <c r="G19" i="6"/>
  <c r="C7" i="6"/>
  <c r="C8" i="6"/>
  <c r="D9" i="6"/>
  <c r="J10" i="6"/>
  <c r="I13" i="6"/>
  <c r="H19" i="6"/>
  <c r="E21" i="6"/>
  <c r="C5" i="6"/>
  <c r="C6" i="6"/>
  <c r="D7" i="6"/>
  <c r="D8" i="6"/>
  <c r="G9" i="6"/>
  <c r="K10" i="6"/>
  <c r="I19" i="6"/>
  <c r="G21" i="6"/>
  <c r="C3" i="6"/>
  <c r="C4" i="6"/>
  <c r="D5" i="6"/>
  <c r="D6" i="6"/>
  <c r="G7" i="6"/>
  <c r="H8" i="6"/>
  <c r="I9" i="6"/>
  <c r="H21" i="6"/>
  <c r="G24" i="6"/>
  <c r="H10" i="6"/>
  <c r="D4" i="6"/>
  <c r="H6" i="6"/>
  <c r="I7" i="6"/>
  <c r="I8" i="6"/>
  <c r="G14" i="6"/>
  <c r="M21" i="6"/>
  <c r="H24" i="6"/>
  <c r="J8" i="6"/>
  <c r="K14" i="6"/>
  <c r="C23" i="6"/>
  <c r="J24" i="6"/>
  <c r="N12" i="6"/>
  <c r="F12" i="6"/>
  <c r="M12" i="6"/>
  <c r="E12" i="6"/>
  <c r="L12" i="6"/>
  <c r="D12" i="6"/>
  <c r="J13" i="6"/>
  <c r="H14" i="6"/>
  <c r="N3" i="6"/>
  <c r="F3" i="6"/>
  <c r="M3" i="6"/>
  <c r="E3" i="6"/>
  <c r="K3" i="6"/>
  <c r="N5" i="6"/>
  <c r="F5" i="6"/>
  <c r="M5" i="6"/>
  <c r="E5" i="6"/>
  <c r="O5" i="6" s="1"/>
  <c r="P5" i="6" s="1"/>
  <c r="K5" i="6"/>
  <c r="N7" i="6"/>
  <c r="F7" i="6"/>
  <c r="M7" i="6"/>
  <c r="E7" i="6"/>
  <c r="K7" i="6"/>
  <c r="N9" i="6"/>
  <c r="F9" i="6"/>
  <c r="M9" i="6"/>
  <c r="E9" i="6"/>
  <c r="L9" i="6"/>
  <c r="K9" i="6"/>
  <c r="I14" i="6"/>
  <c r="F20" i="6"/>
  <c r="C12" i="6"/>
  <c r="N13" i="6"/>
  <c r="F13" i="6"/>
  <c r="M13" i="6"/>
  <c r="E13" i="6"/>
  <c r="L13" i="6"/>
  <c r="D13" i="6"/>
  <c r="G20" i="6"/>
  <c r="H12" i="6"/>
  <c r="C13" i="6"/>
  <c r="N14" i="6"/>
  <c r="F14" i="6"/>
  <c r="M14" i="6"/>
  <c r="E14" i="6"/>
  <c r="L14" i="6"/>
  <c r="D14" i="6"/>
  <c r="I20" i="6"/>
  <c r="N4" i="6"/>
  <c r="F4" i="6"/>
  <c r="M4" i="6"/>
  <c r="E4" i="6"/>
  <c r="K4" i="6"/>
  <c r="N6" i="6"/>
  <c r="F6" i="6"/>
  <c r="M6" i="6"/>
  <c r="E6" i="6"/>
  <c r="O6" i="6" s="1"/>
  <c r="P6" i="6" s="1"/>
  <c r="K6" i="6"/>
  <c r="N8" i="6"/>
  <c r="F8" i="6"/>
  <c r="M8" i="6"/>
  <c r="E8" i="6"/>
  <c r="K8" i="6"/>
  <c r="N10" i="6"/>
  <c r="F10" i="6"/>
  <c r="M10" i="6"/>
  <c r="E10" i="6"/>
  <c r="L10" i="6"/>
  <c r="D10" i="6"/>
  <c r="I12" i="6"/>
  <c r="G13" i="6"/>
  <c r="H3" i="6"/>
  <c r="L4" i="6"/>
  <c r="H5" i="6"/>
  <c r="L6" i="6"/>
  <c r="H7" i="6"/>
  <c r="L8" i="6"/>
  <c r="H9" i="6"/>
  <c r="C10" i="6"/>
  <c r="N11" i="6"/>
  <c r="F11" i="6"/>
  <c r="M11" i="6"/>
  <c r="E11" i="6"/>
  <c r="L11" i="6"/>
  <c r="D11" i="6"/>
  <c r="J12" i="6"/>
  <c r="H13" i="6"/>
  <c r="C14" i="6"/>
  <c r="N19" i="6"/>
  <c r="F19" i="6"/>
  <c r="M19" i="6"/>
  <c r="E19" i="6"/>
  <c r="L19" i="6"/>
  <c r="D19" i="6"/>
  <c r="K19" i="6"/>
  <c r="C19" i="6"/>
  <c r="M20" i="6"/>
  <c r="E20" i="6"/>
  <c r="L20" i="6"/>
  <c r="D20" i="6"/>
  <c r="K20" i="6"/>
  <c r="C20" i="6"/>
  <c r="J20" i="6"/>
  <c r="F21" i="6"/>
  <c r="N21" i="6"/>
  <c r="E22" i="6"/>
  <c r="M22" i="6"/>
  <c r="D23" i="6"/>
  <c r="L23" i="6"/>
  <c r="C24" i="6"/>
  <c r="K24" i="6"/>
  <c r="F22" i="6"/>
  <c r="N22" i="6"/>
  <c r="E23" i="6"/>
  <c r="M23" i="6"/>
  <c r="D24" i="6"/>
  <c r="L24" i="6"/>
  <c r="F23" i="6"/>
  <c r="N23" i="6"/>
  <c r="E24" i="6"/>
  <c r="M24" i="6"/>
  <c r="F24" i="6"/>
  <c r="N24" i="6"/>
  <c r="I21" i="6"/>
  <c r="J21" i="6"/>
  <c r="I22" i="6"/>
  <c r="C21" i="6"/>
  <c r="K21" i="6"/>
  <c r="J22" i="6"/>
  <c r="I23" i="6"/>
  <c r="D21" i="6"/>
  <c r="C22" i="6"/>
  <c r="O8" i="6" l="1"/>
  <c r="P8" i="6" s="1"/>
  <c r="O7" i="6"/>
  <c r="P7" i="6" s="1"/>
  <c r="O11" i="6"/>
  <c r="P11" i="6" s="1"/>
  <c r="O9" i="6"/>
  <c r="P9" i="6" s="1"/>
  <c r="O23" i="6"/>
  <c r="P23" i="6" s="1"/>
  <c r="O4" i="6"/>
  <c r="P4" i="6" s="1"/>
  <c r="O3" i="6"/>
  <c r="P3" i="6" s="1"/>
  <c r="O22" i="6"/>
  <c r="P22" i="6" s="1"/>
  <c r="O21" i="6"/>
  <c r="P21" i="6" s="1"/>
  <c r="O19" i="6"/>
  <c r="P19" i="6" s="1"/>
  <c r="O12" i="6"/>
  <c r="P12" i="6" s="1"/>
  <c r="O24" i="6"/>
  <c r="P24" i="6" s="1"/>
  <c r="O10" i="6"/>
  <c r="P10" i="6" s="1"/>
  <c r="O14" i="6"/>
  <c r="P14" i="6" s="1"/>
  <c r="O20" i="6"/>
  <c r="P20" i="6" s="1"/>
  <c r="O13" i="6"/>
  <c r="P13" i="6" s="1"/>
  <c r="B15" i="6" l="1"/>
  <c r="B25" i="6"/>
</calcChain>
</file>

<file path=xl/sharedStrings.xml><?xml version="1.0" encoding="utf-8"?>
<sst xmlns="http://schemas.openxmlformats.org/spreadsheetml/2006/main" count="437" uniqueCount="318">
  <si>
    <t>Task 1 - Test Design &amp; Risk Coverage: Local Fund Transfer</t>
  </si>
  <si>
    <t>Author</t>
  </si>
  <si>
    <t>Saleh Desouky</t>
  </si>
  <si>
    <t>Version</t>
  </si>
  <si>
    <t>1.0</t>
  </si>
  <si>
    <t>Input</t>
  </si>
  <si>
    <t>User story and acceptance criteria AC1-AC6 as received from the BA. No other documentation was available.</t>
  </si>
  <si>
    <t>How to read this workbook</t>
  </si>
  <si>
    <t>1.1 Questions -&gt; Requirements -&gt; 1.2 Risk Register -&gt; 1.3 Test Cases -&gt; Traceability -&gt; 1.4 Coverage. Each test case is linked to the acceptance criteria / implicit requirements it verifies (AC1-AC6, IR1-IR6) and to the risks it reduces (R1-R6).</t>
  </si>
  <si>
    <t>Risk scoring model</t>
  </si>
  <si>
    <t>Likelihood (1-3)</t>
  </si>
  <si>
    <t>1 = unlikely given normal controls;  2 = plausible;  3 = likely, because the requirement leaves the behaviour undefined.</t>
  </si>
  <si>
    <t>Impact (1-3)</t>
  </si>
  <si>
    <t>1 = inconvenience;  2 = customer blocked or confused, no money lost;  3 = funds lost or wrongly moved, or a fraud / regulatory control weakened.</t>
  </si>
  <si>
    <t>Score and rating</t>
  </si>
  <si>
    <t>Score = Likelihood x Impact.  High = 6-9,  Medium = 3-5,  Low = 1-2.</t>
  </si>
  <si>
    <t>Tie-break (test order)</t>
  </si>
  <si>
    <t>Equal scores are ordered by impact first (Impact 3 before Impact 2), then by how far the damage spreads: controls protecting other customers' money (R4) before authorisation (R3) before limits (R2). The resulting order is in the Test order column of the risk register.</t>
  </si>
  <si>
    <t>Note</t>
  </si>
  <si>
    <t>Scores are my judgement from the requirement alone. I would recalibrate them with the team once architecture and defect history are known.</t>
  </si>
  <si>
    <t>Common preconditions (CP)</t>
  </si>
  <si>
    <t>Customer logged in; active local-currency account with a known balance; at least one registered, active beneficiary; no transfers yet today unless the case says otherwise. Balances are verified in the ledger / statement, not only on screen.</t>
  </si>
  <si>
    <t>Assumptions</t>
  </si>
  <si>
    <t>Test amounts and boundaries in 1.3 rely on the fallback assumptions in 1.1 (inclusive limits, calendar-day window, fee in the balance check). They must be re-checked when the BA answers.</t>
  </si>
  <si>
    <t>#</t>
  </si>
  <si>
    <t>Question for BA / PO</t>
  </si>
  <si>
    <t>Why it matters</t>
  </si>
  <si>
    <t>Assumption if unanswered</t>
  </si>
  <si>
    <t>Status</t>
  </si>
  <si>
    <t>Q1</t>
  </si>
  <si>
    <t>Are the limits inclusive (is exactly 10,000 allowed)? Which currency are they in?</t>
  </si>
  <si>
    <t>Defines the boundary values.</t>
  </si>
  <si>
    <t>Inclusive, in local currency.</t>
  </si>
  <si>
    <t>Open</t>
  </si>
  <si>
    <t>Q2</t>
  </si>
  <si>
    <t>Is the daily limit a calendar day (which time zone) or a rolling 24 hours? Do pending or failed transfers count?</t>
  </si>
  <si>
    <t>The same history gives different results under each rule.</t>
  </si>
  <si>
    <t>Calendar day in the bank's local time. Pending counts; failed does not.</t>
  </si>
  <si>
    <t>Q3</t>
  </si>
  <si>
    <t>Is the fee part of the limit and of the balance check? Is it shown before OTP?</t>
  </si>
  <si>
    <t>Otherwise the account can go negative, or the customer pays an amount they never saw.</t>
  </si>
  <si>
    <t>Not part of the limit; included in the balance check; shown before OTP.</t>
  </si>
  <si>
    <t>Q4</t>
  </si>
  <si>
    <t>What happens when funds are insufficient? No AC covers it.</t>
  </si>
  <si>
    <t>The most common failure is unspecified.</t>
  </si>
  <si>
    <t>Rejected before OTP with a specific message.</t>
  </si>
  <si>
    <t>Q5</t>
  </si>
  <si>
    <t>Same-bank only, or other local banks too? Does success mean debited, or credited to the beneficiary?</t>
  </si>
  <si>
    <t>Interbank transfers settle asynchronously and can fail after the debit.</t>
  </si>
  <si>
    <t>Both. Success = debited and accepted; status may be pending.</t>
  </si>
  <si>
    <t>Q6</t>
  </si>
  <si>
    <t>If a transfer fails after the debit, is it reversed automatically? What does the customer see?</t>
  </si>
  <si>
    <t>AC6 ('an error message') is the biggest gap. A vague error after a debit leads to retries and double payments.</t>
  </si>
  <si>
    <t>No money is lost; the customer sees a clear status, not a generic error.</t>
  </si>
  <si>
    <t>Q7</t>
  </si>
  <si>
    <t>OTP rules: validity, attempts, resend limit. Is the OTP tied to this specific transfer?</t>
  </si>
  <si>
    <t>It is the only authorisation step.</t>
  </si>
  <si>
    <t>A few minutes, 3 attempts, single use, tied to the transfer details.</t>
  </si>
  <si>
    <t>Q8</t>
  </si>
  <si>
    <t>What happens on a double tap or a network retry?</t>
  </si>
  <si>
    <t>Without duplicate protection a retry becomes a second debit.</t>
  </si>
  <si>
    <t>Backend deduplicates: one action = at most one debit.</t>
  </si>
  <si>
    <t>Q9</t>
  </si>
  <si>
    <t>Which source accounts are eligible (types, currencies, frozen or dormant)?</t>
  </si>
  <si>
    <t>A foreign-currency source makes this an FX transfer, a different feature.</t>
  </si>
  <si>
    <t>Active local-currency current and savings accounts only.</t>
  </si>
  <si>
    <t>Q10</t>
  </si>
  <si>
    <t>Is there a cooling-off period or lower limit for newly added beneficiaries?</t>
  </si>
  <si>
    <t>A common control; if it exists it is a limit rule to test.</t>
  </si>
  <si>
    <t>None assumed; logged as an open risk.</t>
  </si>
  <si>
    <t>Q11</t>
  </si>
  <si>
    <t>Amount format: minimum, decimals, Arabic-Indic digits, separators?</t>
  </si>
  <si>
    <t>Defines the input partitions; rounding is a money error.</t>
  </si>
  <si>
    <t>Minimum 0.01, max 2 decimals, otherwise rejected (not rounded).</t>
  </si>
  <si>
    <t>Q12</t>
  </si>
  <si>
    <t>AC1 makes the purpose an optional note, but the payments API (Task 3) requires a purposeCode. Which is right?</t>
  </si>
  <si>
    <t>Purpose codes are often needed for reporting; a mismatch breaks transfers or reporting.</t>
  </si>
  <si>
    <t>Raised as a contradiction, not assumed away.</t>
  </si>
  <si>
    <t>Lower priority: does an SMS failure affect the transfer (it must not)? What must the SMS contain? Cut-off times and holidays for interbank? Is there an OTP test hook in non-production environments for automation?</t>
  </si>
  <si>
    <t>ID</t>
  </si>
  <si>
    <t>Type</t>
  </si>
  <si>
    <t>Requirement</t>
  </si>
  <si>
    <t>Source</t>
  </si>
  <si>
    <t>AC1</t>
  </si>
  <si>
    <t>Acceptance criterion</t>
  </si>
  <si>
    <t>Transfer initiation: customer selects a source account, a registered beneficiary, enters an amount and an optional purpose note.</t>
  </si>
  <si>
    <t>BA requirement</t>
  </si>
  <si>
    <t>AC2</t>
  </si>
  <si>
    <t>Transfer is confirmed with a One-Time Password before execution.</t>
  </si>
  <si>
    <t>AC3</t>
  </si>
  <si>
    <t>A transfer fee is applied according to the bank's fee configuration.</t>
  </si>
  <si>
    <t>AC4</t>
  </si>
  <si>
    <t>Daily transfer limit 20,000; per-transaction limit 10,000.</t>
  </si>
  <si>
    <t>AC5</t>
  </si>
  <si>
    <t>On success: source debited, reference generated, confirmation screen shown, confirmation SMS sent.</t>
  </si>
  <si>
    <t>AC6</t>
  </si>
  <si>
    <t>If the transfer cannot be completed, the customer is shown an error message.</t>
  </si>
  <si>
    <t>IR1</t>
  </si>
  <si>
    <t>Implicit requirement</t>
  </si>
  <si>
    <t>Insufficient funds are rejected before OTP, with the fee included in the balance check.</t>
  </si>
  <si>
    <t>Q3, Q4</t>
  </si>
  <si>
    <t>IR2</t>
  </si>
  <si>
    <t>A failure after the debit loses no money: either nothing is debited or the debit is reversed automatically.</t>
  </si>
  <si>
    <t>Q5, Q6</t>
  </si>
  <si>
    <t>IR3</t>
  </si>
  <si>
    <t>An OTP is valid only for the transfer details it was issued for.</t>
  </si>
  <si>
    <t>IR4</t>
  </si>
  <si>
    <t>A duplicate submission or retry results in at most one debit.</t>
  </si>
  <si>
    <t>IR5</t>
  </si>
  <si>
    <t>Limits hold when transfers are submitted at the same time.</t>
  </si>
  <si>
    <t>IR6</t>
  </si>
  <si>
    <t>A customer can transfer only from their own accounts to their own registered beneficiaries (enforced by the service, not just the UI).</t>
  </si>
  <si>
    <t>Implied by AC1</t>
  </si>
  <si>
    <t>Implicit requirements are behaviours the acceptance criteria do not state but a money-transfer feature must have. Each one came out of a question in 1.1 and stays an assumption until the BA / PO confirms it.</t>
  </si>
  <si>
    <t>Risk ID</t>
  </si>
  <si>
    <t>Risk</t>
  </si>
  <si>
    <t>Cause</t>
  </si>
  <si>
    <t>Score</t>
  </si>
  <si>
    <t>Rating</t>
  </si>
  <si>
    <t>Impact on customer</t>
  </si>
  <si>
    <t>Impact on bank</t>
  </si>
  <si>
    <t>Impact on us (delivery partner)</t>
  </si>
  <si>
    <t>Covered by</t>
  </si>
  <si>
    <t>Owner</t>
  </si>
  <si>
    <t>Test order</t>
  </si>
  <si>
    <t>R1</t>
  </si>
  <si>
    <t>Partial failure: account debited but transfer fails, no reversal, customer retries</t>
  </si>
  <si>
    <t>AC5/AC6 describe only the happy path and a generic error</t>
  </si>
  <si>
    <t>Loses money or pays twice</t>
  </si>
  <si>
    <t>Reconciliation breaks, complaints, regulator attention</t>
  </si>
  <si>
    <t>Severity-1 incident from our release</t>
  </si>
  <si>
    <t>TC01, TC07, TC08</t>
  </si>
  <si>
    <t>QA Lead</t>
  </si>
  <si>
    <t>R2</t>
  </si>
  <si>
    <t>Limits not enforced correctly (boundary, daily window, pending transfers, simultaneous requests)</t>
  </si>
  <si>
    <t>Limit rules only partly specified (Q1, Q2)</t>
  </si>
  <si>
    <t>Can move more than policy allows</t>
  </si>
  <si>
    <t>Policy breach, larger fraud losses</t>
  </si>
  <si>
    <t>Boundary defects are what testing should catch</t>
  </si>
  <si>
    <t>TC02, TC03, TC09, TC11</t>
  </si>
  <si>
    <t>R3</t>
  </si>
  <si>
    <t>OTP does not protect the transfer the customer actually approved</t>
  </si>
  <si>
    <t>OTP rules unspecified (Q7)</t>
  </si>
  <si>
    <t>Unauthorised transfers</t>
  </si>
  <si>
    <t>Fraud liability</t>
  </si>
  <si>
    <t>Reputation</t>
  </si>
  <si>
    <t>TC05, TC06</t>
  </si>
  <si>
    <t>R4</t>
  </si>
  <si>
    <t>Account-ownership checks: customer can only use their own accounts and beneficiaries</t>
  </si>
  <si>
    <t>Server-side checks not mentioned in the AC</t>
  </si>
  <si>
    <t>Another customer's money moved</t>
  </si>
  <si>
    <t>Security incident</t>
  </si>
  <si>
    <t>Critical finding</t>
  </si>
  <si>
    <t>TC11, TC12</t>
  </si>
  <si>
    <t>R5</t>
  </si>
  <si>
    <t>Misleading result: generic error when money moved, or success SMS for a failed transfer</t>
  </si>
  <si>
    <t>AC6 too vague</t>
  </si>
  <si>
    <t>Panic, duplicate retries (feeds R1)</t>
  </si>
  <si>
    <t>Call-centre load</t>
  </si>
  <si>
    <t>Perceived low quality</t>
  </si>
  <si>
    <t>TC01, TC08</t>
  </si>
  <si>
    <t>R6</t>
  </si>
  <si>
    <t>Fee or amount mismatch, or rounding</t>
  </si>
  <si>
    <t>Fee rules referenced but not defined (AC3, Q3, Q11)</t>
  </si>
  <si>
    <t>Overcharged</t>
  </si>
  <si>
    <t>Refunds, conduct risk</t>
  </si>
  <si>
    <t>Rework</t>
  </si>
  <si>
    <t>TC01, TC04, TC10</t>
  </si>
  <si>
    <t>Why R1 ranks first: the requirement describes only the happy path and a vague failure. Partial failure is where real money incidents happen, and it is exactly what is undefined. R2-R4 are controls: when they fail the bank loses a safeguard, not just a feature. Equal scores are ordered by the tie-break rule on the Overview sheet (see Test order).</t>
  </si>
  <si>
    <t>Likelihood and Impact (blue) are inputs; Score and Rating are formulas. Scale definitions are on the Overview sheet.</t>
  </si>
  <si>
    <t>Test ID</t>
  </si>
  <si>
    <t>Title</t>
  </si>
  <si>
    <t>Priority</t>
  </si>
  <si>
    <t>Preconditions</t>
  </si>
  <si>
    <t>Test data</t>
  </si>
  <si>
    <t>Steps</t>
  </si>
  <si>
    <t>Expected result</t>
  </si>
  <si>
    <t>Level</t>
  </si>
  <si>
    <t>Execution</t>
  </si>
  <si>
    <t>TC01</t>
  </si>
  <si>
    <t>Successful transfer: money moves once and every record agrees</t>
  </si>
  <si>
    <t>AC1, AC2, AC3, AC5</t>
  </si>
  <si>
    <t>R1, R5, R6</t>
  </si>
  <si>
    <t>P1</t>
  </si>
  <si>
    <t>Common preconditions (CP). Balance 5,000.00; fee F known from configuration.</t>
  </si>
  <si>
    <t>Amount 1,500.75; purpose note 'Rent'</t>
  </si>
  <si>
    <t>1. Select source account and beneficiary
2. Enter amount and note
3. Review the summary
4. Enter valid OTP</t>
  </si>
  <si>
    <t>Fee F shown before OTP. Balance reduced by 1,500.75 + F (amount and fee as separate entries). One unique reference. Confirmation screen, history and SMS show the same amount, fee and reference. Beneficiary credited (same bank) or status pending (other bank).</t>
  </si>
  <si>
    <t>UI + ledger</t>
  </si>
  <si>
    <t>Automated (UI smoke); SMS content manual</t>
  </si>
  <si>
    <t>Not run</t>
  </si>
  <si>
    <t>TC02</t>
  </si>
  <si>
    <t>Per-transaction limit boundary</t>
  </si>
  <si>
    <t>AC4, AC6</t>
  </si>
  <si>
    <t>Common preconditions (CP). Balance &gt;= 10,100.</t>
  </si>
  <si>
    <t>9,999.99 / 10,000.00 / 10,000.01</t>
  </si>
  <si>
    <t>1. Submit a transfer for each amount in turn</t>
  </si>
  <si>
    <t>First two succeed. 10,000.01 rejected before an OTP is sent, with a limit-specific message. No debit; daily usage unchanged.</t>
  </si>
  <si>
    <t>API</t>
  </si>
  <si>
    <t>Automated</t>
  </si>
  <si>
    <t>TC03</t>
  </si>
  <si>
    <t>Daily limit: totals, exclusions and reset</t>
  </si>
  <si>
    <t>Common preconditions (CP). Today: successful transfers totalling 15,000 plus one failed transfer of 3,000.</t>
  </si>
  <si>
    <t>5,000.00, then 0.01; next day 0.01</t>
  </si>
  <si>
    <t>1. Transfer 5,000.00
2. Transfer 0.01
3. Next calendar day (bank time zone): transfer 0.01</t>
  </si>
  <si>
    <t>5,000 succeeds (exactly 20,000; failed transfer not counted). 0.01 rejected with a daily-limit message. Next day 0.01 succeeds.</t>
  </si>
  <si>
    <t>API (date control)</t>
  </si>
  <si>
    <t>TC04</t>
  </si>
  <si>
    <t>Fee included in the balance check</t>
  </si>
  <si>
    <t>AC3, AC6, IR1</t>
  </si>
  <si>
    <t>Common preconditions (CP). Account A balance = amount + fee; account B balance = amount + fee - 0.01.</t>
  </si>
  <si>
    <t>Amount 1,000.00; fee F</t>
  </si>
  <si>
    <t>1. Transfer from account A
2. Transfer from account B</t>
  </si>
  <si>
    <t>A succeeds, leaving 0.00. B rejected for insufficient funds before OTP; no debit and no hold remains.</t>
  </si>
  <si>
    <t>TC05</t>
  </si>
  <si>
    <t>OTP: wrong, expired, attempts exhausted, replaced by a resend</t>
  </si>
  <si>
    <t>AC2, AC6</t>
  </si>
  <si>
    <t>Common preconditions (CP). Transfer at the OTP step.</t>
  </si>
  <si>
    <t>Wrong OTP; expired OTP; old OTP after resend</t>
  </si>
  <si>
    <t>1. Enter a wrong OTP
2. Enter an expired OTP
3. Repeat wrong OTP to the attempt limit
4. Request resend, then enter the old OTP</t>
  </si>
  <si>
    <t>Each attempt rejected with the correct message; after the limit the transfer is cancelled. No debit and no reference in any case.</t>
  </si>
  <si>
    <t>UI + API</t>
  </si>
  <si>
    <t>Automated (needs OTP test hook)</t>
  </si>
  <si>
    <t>TC06</t>
  </si>
  <si>
    <t>OTP covers only the details the customer approved</t>
  </si>
  <si>
    <t>AC2, IR3</t>
  </si>
  <si>
    <t>Common preconditions (CP). OTP issued for amount X to beneficiary B1.</t>
  </si>
  <si>
    <t>Change to amount Y or beneficiary B2</t>
  </si>
  <si>
    <t>1. Reach the OTP step
2. Go back and change amount or beneficiary
3. Enter the original OTP</t>
  </si>
  <si>
    <t>Original OTP no longer valid; a new confirmation is required for the new details. Nothing executed with the original OTP.</t>
  </si>
  <si>
    <t>TC07</t>
  </si>
  <si>
    <t>Duplicate submission</t>
  </si>
  <si>
    <t>AC5, IR4</t>
  </si>
  <si>
    <t>Common preconditions (CP).</t>
  </si>
  <si>
    <t>Amount 500.00</t>
  </si>
  <si>
    <t>1. Tap Confirm twice quickly
2. Repeat with the connection dropped and restored during submit</t>
  </si>
  <si>
    <t>Exactly one debit and one reference in each case; the repeat shows the existing result.</t>
  </si>
  <si>
    <t>TC08</t>
  </si>
  <si>
    <t>Failure after OTP is handled safely</t>
  </si>
  <si>
    <t>AC6, IR2</t>
  </si>
  <si>
    <t>R1, R5</t>
  </si>
  <si>
    <t>Common preconditions (CP). Test environment able to simulate core-banking or beneficiary-bank failure.</t>
  </si>
  <si>
    <t>Amount 750.00</t>
  </si>
  <si>
    <t>1. Configure the downstream failure / timeout
2. Complete a transfer with valid OTP
3. Check ledger, customer status and SMS</t>
  </si>
  <si>
    <t>Either nothing debited, or debit reversed within the agreed time. Customer sees a clear status (failed / processing); no success SMS.</t>
  </si>
  <si>
    <t>Integration</t>
  </si>
  <si>
    <t>Manual with dev support; automate once a stub exists</t>
  </si>
  <si>
    <t>TC09</t>
  </si>
  <si>
    <t>Simultaneous transfers near the daily limit</t>
  </si>
  <si>
    <t>AC4, IR5</t>
  </si>
  <si>
    <t>Common preconditions (CP). 10,000 of the daily limit remaining.</t>
  </si>
  <si>
    <t>Two transfers of 6,000 at the same time</t>
  </si>
  <si>
    <t>1. Submit both transfers simultaneously from two sessions</t>
  </si>
  <si>
    <t>Exactly one succeeds; daily total never exceeds 20,000.</t>
  </si>
  <si>
    <t>TC10</t>
  </si>
  <si>
    <t>Amount input partitions</t>
  </si>
  <si>
    <t>AC1, AC6</t>
  </si>
  <si>
    <t>P2</t>
  </si>
  <si>
    <t>0; -50; 100.005; 'abc'; 00100; 1,000.50; Arabic-Indic digits</t>
  </si>
  <si>
    <t>1. Enter each value in the amount field and continue</t>
  </si>
  <si>
    <t>Each value is either rejected with a clear message or interpreted correctly and consistently. Amount debited always equals the amount confirmed.</t>
  </si>
  <si>
    <t>API + UI</t>
  </si>
  <si>
    <t>Automated (data-driven)</t>
  </si>
  <si>
    <t>TC11</t>
  </si>
  <si>
    <t>State changes during the flow</t>
  </si>
  <si>
    <t>R2, R4</t>
  </si>
  <si>
    <t>Beneficiary removed; account frozen</t>
  </si>
  <si>
    <t>1. Start a transfer and reach the OTP step
2. In another channel remove the beneficiary / freeze the account
3. Enter the OTP</t>
  </si>
  <si>
    <t>Transfer rejected at execution with a specific message; no debit.</t>
  </si>
  <si>
    <t>TC12</t>
  </si>
  <si>
    <t>Only the customer's own accounts and beneficiaries can be used</t>
  </si>
  <si>
    <t>AC1, IR6</t>
  </si>
  <si>
    <t>Common preconditions (CP). A second test customer with their own account and beneficiary.</t>
  </si>
  <si>
    <t>Customer A and customer B identifiers</t>
  </si>
  <si>
    <t>1. As customer A, review the account and beneficiary lists
2. Attempt a transfer referencing an account or beneficiary that belongs to customer B</t>
  </si>
  <si>
    <t>Lists show only customer A's own items. The service rejects the transfer; nothing is debited from either customer.</t>
  </si>
  <si>
    <t>Requirements traceability: acceptance criteria and implicit requirements -&gt; test cases</t>
  </si>
  <si>
    <t>Description</t>
  </si>
  <si>
    <t>Tests</t>
  </si>
  <si>
    <t>Coverage</t>
  </si>
  <si>
    <t>Risk coverage: risks -&gt; test cases</t>
  </si>
  <si>
    <t>Green cells are linked from other sheets. Both matrices update automatically from the Requirement and Risk columns of 1.3 Test Cases.</t>
  </si>
  <si>
    <t>Deliberately not covered</t>
  </si>
  <si>
    <t>Area</t>
  </si>
  <si>
    <t>Reason</t>
  </si>
  <si>
    <t>Beneficiary registration</t>
  </si>
  <si>
    <t>Separate feature; this story starts from an already registered beneficiary.</t>
  </si>
  <si>
    <t>Performance and load</t>
  </si>
  <si>
    <t>Needs its own plan with agreed volumes; raised separately rather than squeezed into 12 cases.</t>
  </si>
  <si>
    <t>Look and feel, accessibility, devices, localisation</t>
  </si>
  <si>
    <t>Important, but they do not decide whether money moves correctly. Covered by general regression and a device matrix.</t>
  </si>
  <si>
    <t>SMS gateway failure, cut-off times, holidays</t>
  </si>
  <si>
    <t>Waiting on answers to the questions in 1.1.</t>
  </si>
  <si>
    <t>Purpose-code rules</t>
  </si>
  <si>
    <t>Blocked by the contradiction raised in Q12.</t>
  </si>
  <si>
    <t>Automated vs manual</t>
  </si>
  <si>
    <t>Test cases</t>
  </si>
  <si>
    <t>Decision and reason</t>
  </si>
  <si>
    <t>TC02, TC03, TC04, TC07, TC09, TC10, TC11, TC12</t>
  </si>
  <si>
    <t>Automate at API level in the regression suite: deterministic rules, many data combinations, high cost if they regress. TC09 cannot be done reliably by hand.</t>
  </si>
  <si>
    <t>Automate once an OTP test hook exists in the test environment (question raised).</t>
  </si>
  <si>
    <t>Thin automated UI smoke on every build; SMS content and on-screen wording checked manually (needs a real device and judgement).</t>
  </si>
  <si>
    <t>Manual with developer support for failure injection; automate once a stub is available.</t>
  </si>
  <si>
    <t>Release criteria: how I would know it is safe</t>
  </si>
  <si>
    <t>Criterion</t>
  </si>
  <si>
    <t>Measure</t>
  </si>
  <si>
    <t>Test results</t>
  </si>
  <si>
    <t>All 12 cases pass on the release build in an environment connected to core banking (not only mocks).</t>
  </si>
  <si>
    <t>Open defects</t>
  </si>
  <si>
    <t>Zero open severity 1-2 defects in money movement, limits, OTP or authorisation.</t>
  </si>
  <si>
    <t>Reconciliation</t>
  </si>
  <si>
    <t>Across the full test run, debits = credits + fees, with nothing left in suspense.</t>
  </si>
  <si>
    <t>Open questions</t>
  </si>
  <si>
    <t>Q1-Q12 answered, or the assumptions formally accepted by the Product Owner.</t>
  </si>
  <si>
    <t>Sign-offs</t>
  </si>
  <si>
    <t>Bank UAT signed off; security and performance owners have signed off their areas.</t>
  </si>
  <si>
    <t>Operational readiness</t>
  </si>
  <si>
    <t>Monitoring for failed or stuck transfers live; feature can be switched off.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</si>
</sst>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sz val="10"/>
      <name val="Arial"/>
    </font>
    <font>
      <b/>
      <sz val="10"/>
      <name val="Arial"/>
    </font>
    <font>
      <b/>
      <sz val="11"/>
      <color rgb="FF1F3864"/>
      <name val="Arial"/>
    </font>
    <font>
      <b/>
      <sz val="10"/>
      <color rgb="FFFFFFFF"/>
      <name val="Arial"/>
    </font>
    <font>
      <i/>
      <sz val="10"/>
      <name val="Arial"/>
    </font>
    <font>
      <sz val="10"/>
      <color rgb="FF0000FF"/>
      <name val="Arial"/>
    </font>
    <font>
      <sz val="9"/>
      <color rgb="FF595959"/>
      <name val="Arial"/>
    </font>
    <font>
      <sz val="10"/>
      <color rgb="FF008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3F6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8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/>
    </xf>
    <xf numFmtId="0" fontId="3" fillId="0" borderId="0" xfId="0" applyFont="1"/>
    <xf numFmtId="0" fontId="6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7">
    <dxf>
      <font>
        <b/>
        <sz val="10"/>
        <color rgb="FF9C0006"/>
        <name val="Arial"/>
      </font>
      <fill>
        <patternFill patternType="solid">
          <fgColor rgb="FFF4CCCC"/>
        </patternFill>
      </fill>
    </dxf>
    <dxf>
      <font>
        <b/>
        <sz val="10"/>
        <color rgb="FF274E13"/>
        <name val="Arial"/>
      </font>
      <fill>
        <patternFill patternType="solid">
          <fgColor rgb="FFD9EAD3"/>
        </patternFill>
      </fill>
    </dxf>
    <dxf>
      <font>
        <b/>
        <sz val="10"/>
        <color rgb="FF9C0006"/>
        <name val="Arial"/>
      </font>
      <fill>
        <patternFill patternType="solid">
          <fgColor rgb="FFF4CCCC"/>
        </patternFill>
      </fill>
    </dxf>
    <dxf>
      <font>
        <b/>
        <sz val="10"/>
        <color rgb="FF274E13"/>
        <name val="Arial"/>
      </font>
      <fill>
        <patternFill patternType="solid">
          <fgColor rgb="FFD9EAD3"/>
        </patternFill>
      </fill>
    </dxf>
    <dxf>
      <font>
        <b/>
        <sz val="10"/>
        <color rgb="FF274E13"/>
        <name val="Arial"/>
      </font>
      <fill>
        <patternFill patternType="solid">
          <fgColor rgb="FFD9EAD3"/>
        </patternFill>
      </fill>
    </dxf>
    <dxf>
      <font>
        <b/>
        <sz val="10"/>
        <color rgb="FF7F6000"/>
        <name val="Arial"/>
      </font>
      <fill>
        <patternFill patternType="solid">
          <fgColor rgb="FFFFF2CC"/>
        </patternFill>
      </fill>
    </dxf>
    <dxf>
      <font>
        <b/>
        <sz val="10"/>
        <color rgb="FF9C0006"/>
        <name val="Arial"/>
      </font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6"/>
  <sheetViews>
    <sheetView tabSelected="1" workbookViewId="0"/>
  </sheetViews>
  <sheetFormatPr defaultRowHeight="14.4" x14ac:dyDescent="0.3"/>
  <cols>
    <col min="1" max="1" width="26" customWidth="1"/>
    <col min="2" max="2" width="100" customWidth="1"/>
  </cols>
  <sheetData>
    <row r="1" spans="1:2" ht="17.399999999999999" x14ac:dyDescent="0.3">
      <c r="A1" s="1" t="s">
        <v>0</v>
      </c>
    </row>
    <row r="2" spans="1:2" x14ac:dyDescent="0.3">
      <c r="A2" s="2"/>
      <c r="B2" s="2"/>
    </row>
    <row r="3" spans="1:2" x14ac:dyDescent="0.3">
      <c r="A3" s="3" t="s">
        <v>1</v>
      </c>
      <c r="B3" s="2" t="s">
        <v>2</v>
      </c>
    </row>
    <row r="4" spans="1:2" x14ac:dyDescent="0.3">
      <c r="A4" s="3" t="s">
        <v>3</v>
      </c>
      <c r="B4" s="2" t="s">
        <v>4</v>
      </c>
    </row>
    <row r="5" spans="1:2" x14ac:dyDescent="0.3">
      <c r="A5" s="3" t="s">
        <v>5</v>
      </c>
      <c r="B5" s="2" t="s">
        <v>6</v>
      </c>
    </row>
    <row r="6" spans="1:2" ht="39.6" x14ac:dyDescent="0.3">
      <c r="A6" s="3" t="s">
        <v>7</v>
      </c>
      <c r="B6" s="2" t="s">
        <v>8</v>
      </c>
    </row>
    <row r="7" spans="1:2" x14ac:dyDescent="0.3">
      <c r="A7" s="2"/>
      <c r="B7" s="2"/>
    </row>
    <row r="8" spans="1:2" x14ac:dyDescent="0.3">
      <c r="A8" s="4" t="s">
        <v>9</v>
      </c>
      <c r="B8" s="2"/>
    </row>
    <row r="9" spans="1:2" x14ac:dyDescent="0.3">
      <c r="A9" s="3" t="s">
        <v>10</v>
      </c>
      <c r="B9" s="2" t="s">
        <v>11</v>
      </c>
    </row>
    <row r="10" spans="1:2" ht="26.4" x14ac:dyDescent="0.3">
      <c r="A10" s="3" t="s">
        <v>12</v>
      </c>
      <c r="B10" s="2" t="s">
        <v>13</v>
      </c>
    </row>
    <row r="11" spans="1:2" x14ac:dyDescent="0.3">
      <c r="A11" s="3" t="s">
        <v>14</v>
      </c>
      <c r="B11" s="2" t="s">
        <v>15</v>
      </c>
    </row>
    <row r="12" spans="1:2" ht="39.6" x14ac:dyDescent="0.3">
      <c r="A12" s="3" t="s">
        <v>16</v>
      </c>
      <c r="B12" s="2" t="s">
        <v>17</v>
      </c>
    </row>
    <row r="13" spans="1:2" ht="26.4" x14ac:dyDescent="0.3">
      <c r="A13" s="3" t="s">
        <v>18</v>
      </c>
      <c r="B13" s="2" t="s">
        <v>19</v>
      </c>
    </row>
    <row r="14" spans="1:2" ht="26.4" x14ac:dyDescent="0.3">
      <c r="A14" s="3" t="s">
        <v>20</v>
      </c>
      <c r="B14" s="2" t="s">
        <v>21</v>
      </c>
    </row>
    <row r="15" spans="1:2" x14ac:dyDescent="0.3">
      <c r="A15" s="2"/>
      <c r="B15" s="2"/>
    </row>
    <row r="16" spans="1:2" ht="26.4" x14ac:dyDescent="0.3">
      <c r="A16" s="3" t="s">
        <v>22</v>
      </c>
      <c r="B16" s="2" t="s">
        <v>23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60" customWidth="1"/>
    <col min="3" max="4" width="48" customWidth="1"/>
    <col min="5" max="5" width="12" customWidth="1"/>
  </cols>
  <sheetData>
    <row r="1" spans="1:5" ht="30" customHeight="1" x14ac:dyDescent="0.3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</row>
    <row r="2" spans="1:5" ht="26.4" x14ac:dyDescent="0.3">
      <c r="A2" s="6" t="s">
        <v>29</v>
      </c>
      <c r="B2" s="6" t="s">
        <v>30</v>
      </c>
      <c r="C2" s="6" t="s">
        <v>31</v>
      </c>
      <c r="D2" s="6" t="s">
        <v>32</v>
      </c>
      <c r="E2" s="6" t="s">
        <v>33</v>
      </c>
    </row>
    <row r="3" spans="1:5" ht="26.4" x14ac:dyDescent="0.3">
      <c r="A3" s="7" t="s">
        <v>34</v>
      </c>
      <c r="B3" s="7" t="s">
        <v>35</v>
      </c>
      <c r="C3" s="7" t="s">
        <v>36</v>
      </c>
      <c r="D3" s="7" t="s">
        <v>37</v>
      </c>
      <c r="E3" s="7" t="s">
        <v>33</v>
      </c>
    </row>
    <row r="4" spans="1:5" ht="26.4" x14ac:dyDescent="0.3">
      <c r="A4" s="6" t="s">
        <v>38</v>
      </c>
      <c r="B4" s="6" t="s">
        <v>39</v>
      </c>
      <c r="C4" s="6" t="s">
        <v>40</v>
      </c>
      <c r="D4" s="6" t="s">
        <v>41</v>
      </c>
      <c r="E4" s="6" t="s">
        <v>33</v>
      </c>
    </row>
    <row r="5" spans="1:5" x14ac:dyDescent="0.3">
      <c r="A5" s="7" t="s">
        <v>42</v>
      </c>
      <c r="B5" s="7" t="s">
        <v>43</v>
      </c>
      <c r="C5" s="7" t="s">
        <v>44</v>
      </c>
      <c r="D5" s="7" t="s">
        <v>45</v>
      </c>
      <c r="E5" s="7" t="s">
        <v>33</v>
      </c>
    </row>
    <row r="6" spans="1:5" ht="26.4" x14ac:dyDescent="0.3">
      <c r="A6" s="6" t="s">
        <v>46</v>
      </c>
      <c r="B6" s="6" t="s">
        <v>47</v>
      </c>
      <c r="C6" s="6" t="s">
        <v>48</v>
      </c>
      <c r="D6" s="6" t="s">
        <v>49</v>
      </c>
      <c r="E6" s="6" t="s">
        <v>33</v>
      </c>
    </row>
    <row r="7" spans="1:5" ht="26.4" x14ac:dyDescent="0.3">
      <c r="A7" s="7" t="s">
        <v>50</v>
      </c>
      <c r="B7" s="7" t="s">
        <v>51</v>
      </c>
      <c r="C7" s="7" t="s">
        <v>52</v>
      </c>
      <c r="D7" s="7" t="s">
        <v>53</v>
      </c>
      <c r="E7" s="7" t="s">
        <v>33</v>
      </c>
    </row>
    <row r="8" spans="1:5" ht="26.4" x14ac:dyDescent="0.3">
      <c r="A8" s="6" t="s">
        <v>54</v>
      </c>
      <c r="B8" s="6" t="s">
        <v>55</v>
      </c>
      <c r="C8" s="6" t="s">
        <v>56</v>
      </c>
      <c r="D8" s="6" t="s">
        <v>57</v>
      </c>
      <c r="E8" s="6" t="s">
        <v>33</v>
      </c>
    </row>
    <row r="9" spans="1:5" ht="26.4" x14ac:dyDescent="0.3">
      <c r="A9" s="7" t="s">
        <v>58</v>
      </c>
      <c r="B9" s="7" t="s">
        <v>59</v>
      </c>
      <c r="C9" s="7" t="s">
        <v>60</v>
      </c>
      <c r="D9" s="7" t="s">
        <v>61</v>
      </c>
      <c r="E9" s="7" t="s">
        <v>33</v>
      </c>
    </row>
    <row r="10" spans="1:5" ht="26.4" x14ac:dyDescent="0.3">
      <c r="A10" s="6" t="s">
        <v>62</v>
      </c>
      <c r="B10" s="6" t="s">
        <v>63</v>
      </c>
      <c r="C10" s="6" t="s">
        <v>64</v>
      </c>
      <c r="D10" s="6" t="s">
        <v>65</v>
      </c>
      <c r="E10" s="6" t="s">
        <v>33</v>
      </c>
    </row>
    <row r="11" spans="1:5" ht="26.4" x14ac:dyDescent="0.3">
      <c r="A11" s="7" t="s">
        <v>66</v>
      </c>
      <c r="B11" s="7" t="s">
        <v>67</v>
      </c>
      <c r="C11" s="7" t="s">
        <v>68</v>
      </c>
      <c r="D11" s="7" t="s">
        <v>69</v>
      </c>
      <c r="E11" s="7" t="s">
        <v>33</v>
      </c>
    </row>
    <row r="12" spans="1:5" ht="26.4" x14ac:dyDescent="0.3">
      <c r="A12" s="6" t="s">
        <v>70</v>
      </c>
      <c r="B12" s="6" t="s">
        <v>71</v>
      </c>
      <c r="C12" s="6" t="s">
        <v>72</v>
      </c>
      <c r="D12" s="6" t="s">
        <v>73</v>
      </c>
      <c r="E12" s="6" t="s">
        <v>33</v>
      </c>
    </row>
    <row r="13" spans="1:5" ht="26.4" x14ac:dyDescent="0.3">
      <c r="A13" s="7" t="s">
        <v>74</v>
      </c>
      <c r="B13" s="7" t="s">
        <v>75</v>
      </c>
      <c r="C13" s="7" t="s">
        <v>76</v>
      </c>
      <c r="D13" s="7" t="s">
        <v>77</v>
      </c>
      <c r="E13" s="7" t="s">
        <v>33</v>
      </c>
    </row>
    <row r="15" spans="1:5" ht="42" customHeight="1" x14ac:dyDescent="0.3">
      <c r="B15" s="8" t="s">
        <v>78</v>
      </c>
    </row>
  </sheetData>
  <autoFilter ref="A1:E13" xr:uid="{00000000-0009-0000-0000-000001000000}"/>
  <dataValidations count="1">
    <dataValidation type="list" sqref="E2:E13" xr:uid="{00000000-0002-0000-0100-000000000000}">
      <formula1>"Open,Answered,Assumption accepted"</formula1>
    </dataValidation>
  </dataValidation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20" customWidth="1"/>
    <col min="3" max="3" width="90" customWidth="1"/>
    <col min="4" max="4" width="16" customWidth="1"/>
  </cols>
  <sheetData>
    <row r="1" spans="1:4" ht="30" customHeight="1" x14ac:dyDescent="0.3">
      <c r="A1" s="5" t="s">
        <v>79</v>
      </c>
      <c r="B1" s="5" t="s">
        <v>80</v>
      </c>
      <c r="C1" s="5" t="s">
        <v>81</v>
      </c>
      <c r="D1" s="5" t="s">
        <v>82</v>
      </c>
    </row>
    <row r="2" spans="1:4" ht="26.4" x14ac:dyDescent="0.3">
      <c r="A2" s="6" t="s">
        <v>83</v>
      </c>
      <c r="B2" s="6" t="s">
        <v>84</v>
      </c>
      <c r="C2" s="6" t="s">
        <v>85</v>
      </c>
      <c r="D2" s="6" t="s">
        <v>86</v>
      </c>
    </row>
    <row r="3" spans="1:4" x14ac:dyDescent="0.3">
      <c r="A3" s="7" t="s">
        <v>87</v>
      </c>
      <c r="B3" s="7" t="s">
        <v>84</v>
      </c>
      <c r="C3" s="7" t="s">
        <v>88</v>
      </c>
      <c r="D3" s="7" t="s">
        <v>86</v>
      </c>
    </row>
    <row r="4" spans="1:4" x14ac:dyDescent="0.3">
      <c r="A4" s="6" t="s">
        <v>89</v>
      </c>
      <c r="B4" s="6" t="s">
        <v>84</v>
      </c>
      <c r="C4" s="6" t="s">
        <v>90</v>
      </c>
      <c r="D4" s="6" t="s">
        <v>86</v>
      </c>
    </row>
    <row r="5" spans="1:4" x14ac:dyDescent="0.3">
      <c r="A5" s="7" t="s">
        <v>91</v>
      </c>
      <c r="B5" s="7" t="s">
        <v>84</v>
      </c>
      <c r="C5" s="7" t="s">
        <v>92</v>
      </c>
      <c r="D5" s="7" t="s">
        <v>86</v>
      </c>
    </row>
    <row r="6" spans="1:4" x14ac:dyDescent="0.3">
      <c r="A6" s="6" t="s">
        <v>93</v>
      </c>
      <c r="B6" s="6" t="s">
        <v>84</v>
      </c>
      <c r="C6" s="6" t="s">
        <v>94</v>
      </c>
      <c r="D6" s="6" t="s">
        <v>86</v>
      </c>
    </row>
    <row r="7" spans="1:4" x14ac:dyDescent="0.3">
      <c r="A7" s="7" t="s">
        <v>95</v>
      </c>
      <c r="B7" s="7" t="s">
        <v>84</v>
      </c>
      <c r="C7" s="7" t="s">
        <v>96</v>
      </c>
      <c r="D7" s="7" t="s">
        <v>86</v>
      </c>
    </row>
    <row r="8" spans="1:4" x14ac:dyDescent="0.3">
      <c r="A8" s="6" t="s">
        <v>97</v>
      </c>
      <c r="B8" s="6" t="s">
        <v>98</v>
      </c>
      <c r="C8" s="6" t="s">
        <v>99</v>
      </c>
      <c r="D8" s="6" t="s">
        <v>100</v>
      </c>
    </row>
    <row r="9" spans="1:4" x14ac:dyDescent="0.3">
      <c r="A9" s="7" t="s">
        <v>101</v>
      </c>
      <c r="B9" s="7" t="s">
        <v>98</v>
      </c>
      <c r="C9" s="7" t="s">
        <v>102</v>
      </c>
      <c r="D9" s="7" t="s">
        <v>103</v>
      </c>
    </row>
    <row r="10" spans="1:4" x14ac:dyDescent="0.3">
      <c r="A10" s="6" t="s">
        <v>104</v>
      </c>
      <c r="B10" s="6" t="s">
        <v>98</v>
      </c>
      <c r="C10" s="6" t="s">
        <v>105</v>
      </c>
      <c r="D10" s="6" t="s">
        <v>54</v>
      </c>
    </row>
    <row r="11" spans="1:4" x14ac:dyDescent="0.3">
      <c r="A11" s="7" t="s">
        <v>106</v>
      </c>
      <c r="B11" s="7" t="s">
        <v>98</v>
      </c>
      <c r="C11" s="7" t="s">
        <v>107</v>
      </c>
      <c r="D11" s="7" t="s">
        <v>58</v>
      </c>
    </row>
    <row r="12" spans="1:4" x14ac:dyDescent="0.3">
      <c r="A12" s="6" t="s">
        <v>108</v>
      </c>
      <c r="B12" s="6" t="s">
        <v>98</v>
      </c>
      <c r="C12" s="6" t="s">
        <v>109</v>
      </c>
      <c r="D12" s="6" t="s">
        <v>34</v>
      </c>
    </row>
    <row r="13" spans="1:4" ht="26.4" x14ac:dyDescent="0.3">
      <c r="A13" s="7" t="s">
        <v>110</v>
      </c>
      <c r="B13" s="7" t="s">
        <v>98</v>
      </c>
      <c r="C13" s="7" t="s">
        <v>111</v>
      </c>
      <c r="D13" s="7" t="s">
        <v>112</v>
      </c>
    </row>
    <row r="15" spans="1:4" ht="30" customHeight="1" x14ac:dyDescent="0.3">
      <c r="C15" s="8" t="s">
        <v>113</v>
      </c>
    </row>
  </sheetData>
  <autoFilter ref="A1:D13" xr:uid="{00000000-0009-0000-0000-000002000000}"/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44" customWidth="1"/>
    <col min="3" max="3" width="32" customWidth="1"/>
    <col min="4" max="4" width="11" customWidth="1"/>
    <col min="5" max="5" width="10" customWidth="1"/>
    <col min="6" max="6" width="8" customWidth="1"/>
    <col min="7" max="7" width="10" customWidth="1"/>
    <col min="8" max="8" width="26" customWidth="1"/>
    <col min="9" max="9" width="28" customWidth="1"/>
    <col min="10" max="10" width="26" customWidth="1"/>
    <col min="11" max="11" width="18" customWidth="1"/>
    <col min="12" max="12" width="14" customWidth="1"/>
    <col min="13" max="13" width="10" customWidth="1"/>
  </cols>
  <sheetData>
    <row r="1" spans="1:13" ht="30" customHeight="1" x14ac:dyDescent="0.3">
      <c r="A1" s="5" t="s">
        <v>114</v>
      </c>
      <c r="B1" s="5" t="s">
        <v>115</v>
      </c>
      <c r="C1" s="5" t="s">
        <v>116</v>
      </c>
      <c r="D1" s="5" t="s">
        <v>10</v>
      </c>
      <c r="E1" s="5" t="s">
        <v>12</v>
      </c>
      <c r="F1" s="5" t="s">
        <v>117</v>
      </c>
      <c r="G1" s="5" t="s">
        <v>118</v>
      </c>
      <c r="H1" s="5" t="s">
        <v>119</v>
      </c>
      <c r="I1" s="5" t="s">
        <v>120</v>
      </c>
      <c r="J1" s="5" t="s">
        <v>121</v>
      </c>
      <c r="K1" s="5" t="s">
        <v>122</v>
      </c>
      <c r="L1" s="5" t="s">
        <v>123</v>
      </c>
      <c r="M1" s="5" t="s">
        <v>124</v>
      </c>
    </row>
    <row r="2" spans="1:13" ht="26.4" x14ac:dyDescent="0.3">
      <c r="A2" s="6" t="s">
        <v>125</v>
      </c>
      <c r="B2" s="6" t="s">
        <v>126</v>
      </c>
      <c r="C2" s="6" t="s">
        <v>127</v>
      </c>
      <c r="D2" s="9">
        <v>3</v>
      </c>
      <c r="E2" s="9">
        <v>3</v>
      </c>
      <c r="F2" s="10">
        <f t="shared" ref="F2:F7" si="0">D2*E2</f>
        <v>9</v>
      </c>
      <c r="G2" s="10" t="str">
        <f t="shared" ref="G2:G7" si="1">IF(F2&gt;=6,"High",IF(F2&gt;=3,"Medium","Low"))</f>
        <v>High</v>
      </c>
      <c r="H2" s="6" t="s">
        <v>128</v>
      </c>
      <c r="I2" s="6" t="s">
        <v>129</v>
      </c>
      <c r="J2" s="6" t="s">
        <v>130</v>
      </c>
      <c r="K2" s="6" t="s">
        <v>131</v>
      </c>
      <c r="L2" s="6" t="s">
        <v>132</v>
      </c>
      <c r="M2" s="6">
        <v>1</v>
      </c>
    </row>
    <row r="3" spans="1:13" ht="26.4" x14ac:dyDescent="0.3">
      <c r="A3" s="7" t="s">
        <v>133</v>
      </c>
      <c r="B3" s="7" t="s">
        <v>134</v>
      </c>
      <c r="C3" s="7" t="s">
        <v>135</v>
      </c>
      <c r="D3" s="11">
        <v>2</v>
      </c>
      <c r="E3" s="11">
        <v>3</v>
      </c>
      <c r="F3" s="12">
        <f t="shared" si="0"/>
        <v>6</v>
      </c>
      <c r="G3" s="12" t="str">
        <f t="shared" si="1"/>
        <v>High</v>
      </c>
      <c r="H3" s="7" t="s">
        <v>136</v>
      </c>
      <c r="I3" s="7" t="s">
        <v>137</v>
      </c>
      <c r="J3" s="7" t="s">
        <v>138</v>
      </c>
      <c r="K3" s="7" t="s">
        <v>139</v>
      </c>
      <c r="L3" s="7" t="s">
        <v>132</v>
      </c>
      <c r="M3" s="7">
        <v>4</v>
      </c>
    </row>
    <row r="4" spans="1:13" ht="26.4" x14ac:dyDescent="0.3">
      <c r="A4" s="6" t="s">
        <v>140</v>
      </c>
      <c r="B4" s="6" t="s">
        <v>141</v>
      </c>
      <c r="C4" s="6" t="s">
        <v>142</v>
      </c>
      <c r="D4" s="9">
        <v>2</v>
      </c>
      <c r="E4" s="9">
        <v>3</v>
      </c>
      <c r="F4" s="10">
        <f t="shared" si="0"/>
        <v>6</v>
      </c>
      <c r="G4" s="10" t="str">
        <f t="shared" si="1"/>
        <v>High</v>
      </c>
      <c r="H4" s="6" t="s">
        <v>143</v>
      </c>
      <c r="I4" s="6" t="s">
        <v>144</v>
      </c>
      <c r="J4" s="6" t="s">
        <v>145</v>
      </c>
      <c r="K4" s="6" t="s">
        <v>146</v>
      </c>
      <c r="L4" s="6" t="s">
        <v>132</v>
      </c>
      <c r="M4" s="6">
        <v>3</v>
      </c>
    </row>
    <row r="5" spans="1:13" ht="26.4" x14ac:dyDescent="0.3">
      <c r="A5" s="7" t="s">
        <v>147</v>
      </c>
      <c r="B5" s="7" t="s">
        <v>148</v>
      </c>
      <c r="C5" s="7" t="s">
        <v>149</v>
      </c>
      <c r="D5" s="11">
        <v>2</v>
      </c>
      <c r="E5" s="11">
        <v>3</v>
      </c>
      <c r="F5" s="12">
        <f t="shared" si="0"/>
        <v>6</v>
      </c>
      <c r="G5" s="12" t="str">
        <f t="shared" si="1"/>
        <v>High</v>
      </c>
      <c r="H5" s="7" t="s">
        <v>150</v>
      </c>
      <c r="I5" s="7" t="s">
        <v>151</v>
      </c>
      <c r="J5" s="7" t="s">
        <v>152</v>
      </c>
      <c r="K5" s="7" t="s">
        <v>153</v>
      </c>
      <c r="L5" s="7" t="s">
        <v>132</v>
      </c>
      <c r="M5" s="7">
        <v>2</v>
      </c>
    </row>
    <row r="6" spans="1:13" ht="26.4" x14ac:dyDescent="0.3">
      <c r="A6" s="6" t="s">
        <v>154</v>
      </c>
      <c r="B6" s="6" t="s">
        <v>155</v>
      </c>
      <c r="C6" s="6" t="s">
        <v>156</v>
      </c>
      <c r="D6" s="9">
        <v>3</v>
      </c>
      <c r="E6" s="9">
        <v>2</v>
      </c>
      <c r="F6" s="10">
        <f t="shared" si="0"/>
        <v>6</v>
      </c>
      <c r="G6" s="10" t="str">
        <f t="shared" si="1"/>
        <v>High</v>
      </c>
      <c r="H6" s="6" t="s">
        <v>157</v>
      </c>
      <c r="I6" s="6" t="s">
        <v>158</v>
      </c>
      <c r="J6" s="6" t="s">
        <v>159</v>
      </c>
      <c r="K6" s="6" t="s">
        <v>160</v>
      </c>
      <c r="L6" s="6" t="s">
        <v>132</v>
      </c>
      <c r="M6" s="6">
        <v>5</v>
      </c>
    </row>
    <row r="7" spans="1:13" ht="26.4" x14ac:dyDescent="0.3">
      <c r="A7" s="7" t="s">
        <v>161</v>
      </c>
      <c r="B7" s="7" t="s">
        <v>162</v>
      </c>
      <c r="C7" s="7" t="s">
        <v>163</v>
      </c>
      <c r="D7" s="11">
        <v>2</v>
      </c>
      <c r="E7" s="11">
        <v>2</v>
      </c>
      <c r="F7" s="12">
        <f t="shared" si="0"/>
        <v>4</v>
      </c>
      <c r="G7" s="12" t="str">
        <f t="shared" si="1"/>
        <v>Medium</v>
      </c>
      <c r="H7" s="7" t="s">
        <v>164</v>
      </c>
      <c r="I7" s="7" t="s">
        <v>165</v>
      </c>
      <c r="J7" s="7" t="s">
        <v>166</v>
      </c>
      <c r="K7" s="7" t="s">
        <v>167</v>
      </c>
      <c r="L7" s="7" t="s">
        <v>132</v>
      </c>
      <c r="M7" s="7">
        <v>6</v>
      </c>
    </row>
    <row r="9" spans="1:13" ht="43.95" customHeight="1" x14ac:dyDescent="0.3">
      <c r="B9" s="20" t="s">
        <v>168</v>
      </c>
      <c r="C9" s="21"/>
      <c r="D9" s="21"/>
      <c r="E9" s="21"/>
      <c r="F9" s="21"/>
      <c r="G9" s="21"/>
    </row>
    <row r="10" spans="1:13" x14ac:dyDescent="0.3">
      <c r="B10" s="13" t="s">
        <v>169</v>
      </c>
    </row>
  </sheetData>
  <autoFilter ref="A1:M7" xr:uid="{00000000-0009-0000-0000-000003000000}"/>
  <mergeCells count="1">
    <mergeCell ref="B9:G9"/>
  </mergeCells>
  <conditionalFormatting sqref="G2:G7">
    <cfRule type="cellIs" dxfId="6" priority="1" operator="equal">
      <formula>"High"</formula>
    </cfRule>
    <cfRule type="cellIs" dxfId="5" priority="2" operator="equal">
      <formula>"Medium"</formula>
    </cfRule>
    <cfRule type="cellIs" dxfId="4" priority="3" operator="equal">
      <formula>"Low"</formula>
    </cfRule>
  </conditionalFormatting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1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30" customWidth="1"/>
    <col min="3" max="3" width="14" customWidth="1"/>
    <col min="4" max="4" width="10" customWidth="1"/>
    <col min="5" max="5" width="8" customWidth="1"/>
    <col min="6" max="6" width="34" customWidth="1"/>
    <col min="7" max="7" width="24" customWidth="1"/>
    <col min="8" max="8" width="40" customWidth="1"/>
    <col min="9" max="9" width="50" customWidth="1"/>
    <col min="10" max="10" width="12" customWidth="1"/>
    <col min="11" max="11" width="20" customWidth="1"/>
    <col min="12" max="12" width="11" customWidth="1"/>
  </cols>
  <sheetData>
    <row r="1" spans="1:12" ht="30" customHeight="1" x14ac:dyDescent="0.3">
      <c r="A1" s="5" t="s">
        <v>170</v>
      </c>
      <c r="B1" s="5" t="s">
        <v>171</v>
      </c>
      <c r="C1" s="5" t="s">
        <v>81</v>
      </c>
      <c r="D1" s="5" t="s">
        <v>115</v>
      </c>
      <c r="E1" s="5" t="s">
        <v>172</v>
      </c>
      <c r="F1" s="5" t="s">
        <v>173</v>
      </c>
      <c r="G1" s="5" t="s">
        <v>174</v>
      </c>
      <c r="H1" s="5" t="s">
        <v>175</v>
      </c>
      <c r="I1" s="5" t="s">
        <v>176</v>
      </c>
      <c r="J1" s="5" t="s">
        <v>177</v>
      </c>
      <c r="K1" s="5" t="s">
        <v>178</v>
      </c>
      <c r="L1" s="5" t="s">
        <v>28</v>
      </c>
    </row>
    <row r="2" spans="1:12" ht="66" x14ac:dyDescent="0.3">
      <c r="A2" s="6" t="s">
        <v>179</v>
      </c>
      <c r="B2" s="6" t="s">
        <v>180</v>
      </c>
      <c r="C2" s="6" t="s">
        <v>181</v>
      </c>
      <c r="D2" s="6" t="s">
        <v>182</v>
      </c>
      <c r="E2" s="6" t="s">
        <v>183</v>
      </c>
      <c r="F2" s="6" t="s">
        <v>184</v>
      </c>
      <c r="G2" s="6" t="s">
        <v>185</v>
      </c>
      <c r="H2" s="6" t="s">
        <v>186</v>
      </c>
      <c r="I2" s="6" t="s">
        <v>187</v>
      </c>
      <c r="J2" s="6" t="s">
        <v>188</v>
      </c>
      <c r="K2" s="6" t="s">
        <v>189</v>
      </c>
      <c r="L2" s="6" t="s">
        <v>190</v>
      </c>
    </row>
    <row r="3" spans="1:12" ht="39.6" x14ac:dyDescent="0.3">
      <c r="A3" s="7" t="s">
        <v>191</v>
      </c>
      <c r="B3" s="7" t="s">
        <v>192</v>
      </c>
      <c r="C3" s="7" t="s">
        <v>193</v>
      </c>
      <c r="D3" s="7" t="s">
        <v>133</v>
      </c>
      <c r="E3" s="7" t="s">
        <v>183</v>
      </c>
      <c r="F3" s="7" t="s">
        <v>194</v>
      </c>
      <c r="G3" s="7" t="s">
        <v>195</v>
      </c>
      <c r="H3" s="7" t="s">
        <v>196</v>
      </c>
      <c r="I3" s="7" t="s">
        <v>197</v>
      </c>
      <c r="J3" s="7" t="s">
        <v>198</v>
      </c>
      <c r="K3" s="7" t="s">
        <v>199</v>
      </c>
      <c r="L3" s="7" t="s">
        <v>190</v>
      </c>
    </row>
    <row r="4" spans="1:12" ht="52.8" x14ac:dyDescent="0.3">
      <c r="A4" s="6" t="s">
        <v>200</v>
      </c>
      <c r="B4" s="6" t="s">
        <v>201</v>
      </c>
      <c r="C4" s="6" t="s">
        <v>193</v>
      </c>
      <c r="D4" s="6" t="s">
        <v>133</v>
      </c>
      <c r="E4" s="6" t="s">
        <v>183</v>
      </c>
      <c r="F4" s="6" t="s">
        <v>202</v>
      </c>
      <c r="G4" s="6" t="s">
        <v>203</v>
      </c>
      <c r="H4" s="6" t="s">
        <v>204</v>
      </c>
      <c r="I4" s="6" t="s">
        <v>205</v>
      </c>
      <c r="J4" s="6" t="s">
        <v>206</v>
      </c>
      <c r="K4" s="6" t="s">
        <v>199</v>
      </c>
      <c r="L4" s="6" t="s">
        <v>190</v>
      </c>
    </row>
    <row r="5" spans="1:12" ht="39.6" x14ac:dyDescent="0.3">
      <c r="A5" s="7" t="s">
        <v>207</v>
      </c>
      <c r="B5" s="7" t="s">
        <v>208</v>
      </c>
      <c r="C5" s="7" t="s">
        <v>209</v>
      </c>
      <c r="D5" s="7" t="s">
        <v>161</v>
      </c>
      <c r="E5" s="7" t="s">
        <v>183</v>
      </c>
      <c r="F5" s="7" t="s">
        <v>210</v>
      </c>
      <c r="G5" s="7" t="s">
        <v>211</v>
      </c>
      <c r="H5" s="7" t="s">
        <v>212</v>
      </c>
      <c r="I5" s="7" t="s">
        <v>213</v>
      </c>
      <c r="J5" s="7" t="s">
        <v>198</v>
      </c>
      <c r="K5" s="7" t="s">
        <v>199</v>
      </c>
      <c r="L5" s="7" t="s">
        <v>190</v>
      </c>
    </row>
    <row r="6" spans="1:12" ht="52.8" x14ac:dyDescent="0.3">
      <c r="A6" s="6" t="s">
        <v>214</v>
      </c>
      <c r="B6" s="6" t="s">
        <v>215</v>
      </c>
      <c r="C6" s="6" t="s">
        <v>216</v>
      </c>
      <c r="D6" s="6" t="s">
        <v>140</v>
      </c>
      <c r="E6" s="6" t="s">
        <v>183</v>
      </c>
      <c r="F6" s="6" t="s">
        <v>217</v>
      </c>
      <c r="G6" s="6" t="s">
        <v>218</v>
      </c>
      <c r="H6" s="6" t="s">
        <v>219</v>
      </c>
      <c r="I6" s="6" t="s">
        <v>220</v>
      </c>
      <c r="J6" s="6" t="s">
        <v>221</v>
      </c>
      <c r="K6" s="6" t="s">
        <v>222</v>
      </c>
      <c r="L6" s="6" t="s">
        <v>190</v>
      </c>
    </row>
    <row r="7" spans="1:12" ht="39.6" x14ac:dyDescent="0.3">
      <c r="A7" s="7" t="s">
        <v>223</v>
      </c>
      <c r="B7" s="7" t="s">
        <v>224</v>
      </c>
      <c r="C7" s="7" t="s">
        <v>225</v>
      </c>
      <c r="D7" s="7" t="s">
        <v>140</v>
      </c>
      <c r="E7" s="7" t="s">
        <v>183</v>
      </c>
      <c r="F7" s="7" t="s">
        <v>226</v>
      </c>
      <c r="G7" s="7" t="s">
        <v>227</v>
      </c>
      <c r="H7" s="7" t="s">
        <v>228</v>
      </c>
      <c r="I7" s="7" t="s">
        <v>229</v>
      </c>
      <c r="J7" s="7" t="s">
        <v>221</v>
      </c>
      <c r="K7" s="7" t="s">
        <v>222</v>
      </c>
      <c r="L7" s="7" t="s">
        <v>190</v>
      </c>
    </row>
    <row r="8" spans="1:12" ht="39.6" x14ac:dyDescent="0.3">
      <c r="A8" s="6" t="s">
        <v>230</v>
      </c>
      <c r="B8" s="6" t="s">
        <v>231</v>
      </c>
      <c r="C8" s="6" t="s">
        <v>232</v>
      </c>
      <c r="D8" s="6" t="s">
        <v>125</v>
      </c>
      <c r="E8" s="6" t="s">
        <v>183</v>
      </c>
      <c r="F8" s="6" t="s">
        <v>233</v>
      </c>
      <c r="G8" s="6" t="s">
        <v>234</v>
      </c>
      <c r="H8" s="6" t="s">
        <v>235</v>
      </c>
      <c r="I8" s="6" t="s">
        <v>236</v>
      </c>
      <c r="J8" s="6" t="s">
        <v>221</v>
      </c>
      <c r="K8" s="6" t="s">
        <v>199</v>
      </c>
      <c r="L8" s="6" t="s">
        <v>190</v>
      </c>
    </row>
    <row r="9" spans="1:12" ht="39.6" x14ac:dyDescent="0.3">
      <c r="A9" s="7" t="s">
        <v>237</v>
      </c>
      <c r="B9" s="7" t="s">
        <v>238</v>
      </c>
      <c r="C9" s="7" t="s">
        <v>239</v>
      </c>
      <c r="D9" s="7" t="s">
        <v>240</v>
      </c>
      <c r="E9" s="7" t="s">
        <v>183</v>
      </c>
      <c r="F9" s="7" t="s">
        <v>241</v>
      </c>
      <c r="G9" s="7" t="s">
        <v>242</v>
      </c>
      <c r="H9" s="7" t="s">
        <v>243</v>
      </c>
      <c r="I9" s="7" t="s">
        <v>244</v>
      </c>
      <c r="J9" s="7" t="s">
        <v>245</v>
      </c>
      <c r="K9" s="7" t="s">
        <v>246</v>
      </c>
      <c r="L9" s="7" t="s">
        <v>190</v>
      </c>
    </row>
    <row r="10" spans="1:12" ht="26.4" x14ac:dyDescent="0.3">
      <c r="A10" s="6" t="s">
        <v>247</v>
      </c>
      <c r="B10" s="6" t="s">
        <v>248</v>
      </c>
      <c r="C10" s="6" t="s">
        <v>249</v>
      </c>
      <c r="D10" s="6" t="s">
        <v>133</v>
      </c>
      <c r="E10" s="6" t="s">
        <v>183</v>
      </c>
      <c r="F10" s="6" t="s">
        <v>250</v>
      </c>
      <c r="G10" s="6" t="s">
        <v>251</v>
      </c>
      <c r="H10" s="6" t="s">
        <v>252</v>
      </c>
      <c r="I10" s="6" t="s">
        <v>253</v>
      </c>
      <c r="J10" s="6" t="s">
        <v>198</v>
      </c>
      <c r="K10" s="6" t="s">
        <v>199</v>
      </c>
      <c r="L10" s="6" t="s">
        <v>190</v>
      </c>
    </row>
    <row r="11" spans="1:12" ht="39.6" x14ac:dyDescent="0.3">
      <c r="A11" s="7" t="s">
        <v>254</v>
      </c>
      <c r="B11" s="7" t="s">
        <v>255</v>
      </c>
      <c r="C11" s="7" t="s">
        <v>256</v>
      </c>
      <c r="D11" s="7" t="s">
        <v>161</v>
      </c>
      <c r="E11" s="7" t="s">
        <v>257</v>
      </c>
      <c r="F11" s="7" t="s">
        <v>233</v>
      </c>
      <c r="G11" s="7" t="s">
        <v>258</v>
      </c>
      <c r="H11" s="7" t="s">
        <v>259</v>
      </c>
      <c r="I11" s="7" t="s">
        <v>260</v>
      </c>
      <c r="J11" s="7" t="s">
        <v>261</v>
      </c>
      <c r="K11" s="7" t="s">
        <v>262</v>
      </c>
      <c r="L11" s="7" t="s">
        <v>190</v>
      </c>
    </row>
    <row r="12" spans="1:12" ht="52.8" x14ac:dyDescent="0.3">
      <c r="A12" s="6" t="s">
        <v>263</v>
      </c>
      <c r="B12" s="6" t="s">
        <v>264</v>
      </c>
      <c r="C12" s="6" t="s">
        <v>256</v>
      </c>
      <c r="D12" s="6" t="s">
        <v>265</v>
      </c>
      <c r="E12" s="6" t="s">
        <v>257</v>
      </c>
      <c r="F12" s="6" t="s">
        <v>233</v>
      </c>
      <c r="G12" s="6" t="s">
        <v>266</v>
      </c>
      <c r="H12" s="6" t="s">
        <v>267</v>
      </c>
      <c r="I12" s="6" t="s">
        <v>268</v>
      </c>
      <c r="J12" s="6" t="s">
        <v>198</v>
      </c>
      <c r="K12" s="6" t="s">
        <v>199</v>
      </c>
      <c r="L12" s="6" t="s">
        <v>190</v>
      </c>
    </row>
    <row r="13" spans="1:12" ht="52.8" x14ac:dyDescent="0.3">
      <c r="A13" s="7" t="s">
        <v>269</v>
      </c>
      <c r="B13" s="7" t="s">
        <v>270</v>
      </c>
      <c r="C13" s="7" t="s">
        <v>271</v>
      </c>
      <c r="D13" s="7" t="s">
        <v>147</v>
      </c>
      <c r="E13" s="7" t="s">
        <v>183</v>
      </c>
      <c r="F13" s="7" t="s">
        <v>272</v>
      </c>
      <c r="G13" s="7" t="s">
        <v>273</v>
      </c>
      <c r="H13" s="7" t="s">
        <v>274</v>
      </c>
      <c r="I13" s="7" t="s">
        <v>275</v>
      </c>
      <c r="J13" s="7" t="s">
        <v>198</v>
      </c>
      <c r="K13" s="7" t="s">
        <v>199</v>
      </c>
      <c r="L13" s="7" t="s">
        <v>190</v>
      </c>
    </row>
  </sheetData>
  <autoFilter ref="A1:L13" xr:uid="{00000000-0009-0000-0000-000004000000}"/>
  <dataValidations count="1">
    <dataValidation type="list" sqref="L2:L13" xr:uid="{00000000-0002-0000-0400-000000000000}">
      <formula1>"Not run,Pass,Fail,Blocked"</formula1>
    </dataValidation>
  </dataValidation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27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64" customWidth="1"/>
    <col min="3" max="14" width="6.44140625" customWidth="1"/>
    <col min="15" max="15" width="7" customWidth="1"/>
    <col min="16" max="16" width="13" customWidth="1"/>
    <col min="17" max="17" width="10" customWidth="1"/>
  </cols>
  <sheetData>
    <row r="1" spans="1:16" x14ac:dyDescent="0.3">
      <c r="A1" s="14" t="s">
        <v>276</v>
      </c>
    </row>
    <row r="2" spans="1:16" x14ac:dyDescent="0.3">
      <c r="A2" s="15" t="s">
        <v>79</v>
      </c>
      <c r="B2" s="15" t="s">
        <v>277</v>
      </c>
      <c r="C2" s="15" t="s">
        <v>179</v>
      </c>
      <c r="D2" s="15" t="s">
        <v>191</v>
      </c>
      <c r="E2" s="15" t="s">
        <v>200</v>
      </c>
      <c r="F2" s="15" t="s">
        <v>207</v>
      </c>
      <c r="G2" s="15" t="s">
        <v>214</v>
      </c>
      <c r="H2" s="15" t="s">
        <v>223</v>
      </c>
      <c r="I2" s="15" t="s">
        <v>230</v>
      </c>
      <c r="J2" s="15" t="s">
        <v>237</v>
      </c>
      <c r="K2" s="15" t="s">
        <v>247</v>
      </c>
      <c r="L2" s="15" t="s">
        <v>254</v>
      </c>
      <c r="M2" s="15" t="s">
        <v>263</v>
      </c>
      <c r="N2" s="15" t="s">
        <v>269</v>
      </c>
      <c r="O2" s="15" t="s">
        <v>278</v>
      </c>
      <c r="P2" s="15" t="s">
        <v>279</v>
      </c>
    </row>
    <row r="3" spans="1:16" ht="27" customHeight="1" x14ac:dyDescent="0.3">
      <c r="A3" s="16" t="str">
        <f>Requirements!A2</f>
        <v>AC1</v>
      </c>
      <c r="B3" s="17" t="str">
        <f>Requirements!C2</f>
        <v>Transfer initiation: customer selects a source account, a registered beneficiary, enters an amount and an optional purpose note.</v>
      </c>
      <c r="C3" s="10" t="str">
        <f>IF(ISNUMBER(SEARCH($A3,'1.3 Test Cases'!$C$2)),"X","")</f>
        <v>X</v>
      </c>
      <c r="D3" s="10" t="str">
        <f>IF(ISNUMBER(SEARCH($A3,'1.3 Test Cases'!$C$3)),"X","")</f>
        <v/>
      </c>
      <c r="E3" s="10" t="str">
        <f>IF(ISNUMBER(SEARCH($A3,'1.3 Test Cases'!$C$4)),"X","")</f>
        <v/>
      </c>
      <c r="F3" s="10" t="str">
        <f>IF(ISNUMBER(SEARCH($A3,'1.3 Test Cases'!$C$5)),"X","")</f>
        <v/>
      </c>
      <c r="G3" s="10" t="str">
        <f>IF(ISNUMBER(SEARCH($A3,'1.3 Test Cases'!$C$6)),"X","")</f>
        <v/>
      </c>
      <c r="H3" s="10" t="str">
        <f>IF(ISNUMBER(SEARCH($A3,'1.3 Test Cases'!$C$7)),"X","")</f>
        <v/>
      </c>
      <c r="I3" s="10" t="str">
        <f>IF(ISNUMBER(SEARCH($A3,'1.3 Test Cases'!$C$8)),"X","")</f>
        <v/>
      </c>
      <c r="J3" s="10" t="str">
        <f>IF(ISNUMBER(SEARCH($A3,'1.3 Test Cases'!$C$9)),"X","")</f>
        <v/>
      </c>
      <c r="K3" s="10" t="str">
        <f>IF(ISNUMBER(SEARCH($A3,'1.3 Test Cases'!$C$10)),"X","")</f>
        <v/>
      </c>
      <c r="L3" s="10" t="str">
        <f>IF(ISNUMBER(SEARCH($A3,'1.3 Test Cases'!$C$11)),"X","")</f>
        <v>X</v>
      </c>
      <c r="M3" s="10" t="str">
        <f>IF(ISNUMBER(SEARCH($A3,'1.3 Test Cases'!$C$12)),"X","")</f>
        <v>X</v>
      </c>
      <c r="N3" s="10" t="str">
        <f>IF(ISNUMBER(SEARCH($A3,'1.3 Test Cases'!$C$13)),"X","")</f>
        <v>X</v>
      </c>
      <c r="O3" s="18">
        <f t="shared" ref="O3:O14" si="0">COUNTIF(C3:N3,"X")</f>
        <v>4</v>
      </c>
      <c r="P3" s="10" t="str">
        <f t="shared" ref="P3:P14" si="1">IF(O3&gt;0,"Covered","Not covered")</f>
        <v>Covered</v>
      </c>
    </row>
    <row r="4" spans="1:16" ht="27" customHeight="1" x14ac:dyDescent="0.3">
      <c r="A4" s="16" t="str">
        <f>Requirements!A3</f>
        <v>AC2</v>
      </c>
      <c r="B4" s="17" t="str">
        <f>Requirements!C3</f>
        <v>Transfer is confirmed with a One-Time Password before execution.</v>
      </c>
      <c r="C4" s="10" t="str">
        <f>IF(ISNUMBER(SEARCH($A4,'1.3 Test Cases'!$C$2)),"X","")</f>
        <v>X</v>
      </c>
      <c r="D4" s="10" t="str">
        <f>IF(ISNUMBER(SEARCH($A4,'1.3 Test Cases'!$C$3)),"X","")</f>
        <v/>
      </c>
      <c r="E4" s="10" t="str">
        <f>IF(ISNUMBER(SEARCH($A4,'1.3 Test Cases'!$C$4)),"X","")</f>
        <v/>
      </c>
      <c r="F4" s="10" t="str">
        <f>IF(ISNUMBER(SEARCH($A4,'1.3 Test Cases'!$C$5)),"X","")</f>
        <v/>
      </c>
      <c r="G4" s="10" t="str">
        <f>IF(ISNUMBER(SEARCH($A4,'1.3 Test Cases'!$C$6)),"X","")</f>
        <v>X</v>
      </c>
      <c r="H4" s="10" t="str">
        <f>IF(ISNUMBER(SEARCH($A4,'1.3 Test Cases'!$C$7)),"X","")</f>
        <v>X</v>
      </c>
      <c r="I4" s="10" t="str">
        <f>IF(ISNUMBER(SEARCH($A4,'1.3 Test Cases'!$C$8)),"X","")</f>
        <v/>
      </c>
      <c r="J4" s="10" t="str">
        <f>IF(ISNUMBER(SEARCH($A4,'1.3 Test Cases'!$C$9)),"X","")</f>
        <v/>
      </c>
      <c r="K4" s="10" t="str">
        <f>IF(ISNUMBER(SEARCH($A4,'1.3 Test Cases'!$C$10)),"X","")</f>
        <v/>
      </c>
      <c r="L4" s="10" t="str">
        <f>IF(ISNUMBER(SEARCH($A4,'1.3 Test Cases'!$C$11)),"X","")</f>
        <v/>
      </c>
      <c r="M4" s="10" t="str">
        <f>IF(ISNUMBER(SEARCH($A4,'1.3 Test Cases'!$C$12)),"X","")</f>
        <v/>
      </c>
      <c r="N4" s="10" t="str">
        <f>IF(ISNUMBER(SEARCH($A4,'1.3 Test Cases'!$C$13)),"X","")</f>
        <v/>
      </c>
      <c r="O4" s="18">
        <f t="shared" si="0"/>
        <v>3</v>
      </c>
      <c r="P4" s="10" t="str">
        <f t="shared" si="1"/>
        <v>Covered</v>
      </c>
    </row>
    <row r="5" spans="1:16" ht="27" customHeight="1" x14ac:dyDescent="0.3">
      <c r="A5" s="16" t="str">
        <f>Requirements!A4</f>
        <v>AC3</v>
      </c>
      <c r="B5" s="17" t="str">
        <f>Requirements!C4</f>
        <v>A transfer fee is applied according to the bank's fee configuration.</v>
      </c>
      <c r="C5" s="10" t="str">
        <f>IF(ISNUMBER(SEARCH($A5,'1.3 Test Cases'!$C$2)),"X","")</f>
        <v>X</v>
      </c>
      <c r="D5" s="10" t="str">
        <f>IF(ISNUMBER(SEARCH($A5,'1.3 Test Cases'!$C$3)),"X","")</f>
        <v/>
      </c>
      <c r="E5" s="10" t="str">
        <f>IF(ISNUMBER(SEARCH($A5,'1.3 Test Cases'!$C$4)),"X","")</f>
        <v/>
      </c>
      <c r="F5" s="10" t="str">
        <f>IF(ISNUMBER(SEARCH($A5,'1.3 Test Cases'!$C$5)),"X","")</f>
        <v>X</v>
      </c>
      <c r="G5" s="10" t="str">
        <f>IF(ISNUMBER(SEARCH($A5,'1.3 Test Cases'!$C$6)),"X","")</f>
        <v/>
      </c>
      <c r="H5" s="10" t="str">
        <f>IF(ISNUMBER(SEARCH($A5,'1.3 Test Cases'!$C$7)),"X","")</f>
        <v/>
      </c>
      <c r="I5" s="10" t="str">
        <f>IF(ISNUMBER(SEARCH($A5,'1.3 Test Cases'!$C$8)),"X","")</f>
        <v/>
      </c>
      <c r="J5" s="10" t="str">
        <f>IF(ISNUMBER(SEARCH($A5,'1.3 Test Cases'!$C$9)),"X","")</f>
        <v/>
      </c>
      <c r="K5" s="10" t="str">
        <f>IF(ISNUMBER(SEARCH($A5,'1.3 Test Cases'!$C$10)),"X","")</f>
        <v/>
      </c>
      <c r="L5" s="10" t="str">
        <f>IF(ISNUMBER(SEARCH($A5,'1.3 Test Cases'!$C$11)),"X","")</f>
        <v/>
      </c>
      <c r="M5" s="10" t="str">
        <f>IF(ISNUMBER(SEARCH($A5,'1.3 Test Cases'!$C$12)),"X","")</f>
        <v/>
      </c>
      <c r="N5" s="10" t="str">
        <f>IF(ISNUMBER(SEARCH($A5,'1.3 Test Cases'!$C$13)),"X","")</f>
        <v/>
      </c>
      <c r="O5" s="18">
        <f t="shared" si="0"/>
        <v>2</v>
      </c>
      <c r="P5" s="10" t="str">
        <f t="shared" si="1"/>
        <v>Covered</v>
      </c>
    </row>
    <row r="6" spans="1:16" ht="27" customHeight="1" x14ac:dyDescent="0.3">
      <c r="A6" s="16" t="str">
        <f>Requirements!A5</f>
        <v>AC4</v>
      </c>
      <c r="B6" s="17" t="str">
        <f>Requirements!C5</f>
        <v>Daily transfer limit 20,000; per-transaction limit 10,000.</v>
      </c>
      <c r="C6" s="10" t="str">
        <f>IF(ISNUMBER(SEARCH($A6,'1.3 Test Cases'!$C$2)),"X","")</f>
        <v/>
      </c>
      <c r="D6" s="10" t="str">
        <f>IF(ISNUMBER(SEARCH($A6,'1.3 Test Cases'!$C$3)),"X","")</f>
        <v>X</v>
      </c>
      <c r="E6" s="10" t="str">
        <f>IF(ISNUMBER(SEARCH($A6,'1.3 Test Cases'!$C$4)),"X","")</f>
        <v>X</v>
      </c>
      <c r="F6" s="10" t="str">
        <f>IF(ISNUMBER(SEARCH($A6,'1.3 Test Cases'!$C$5)),"X","")</f>
        <v/>
      </c>
      <c r="G6" s="10" t="str">
        <f>IF(ISNUMBER(SEARCH($A6,'1.3 Test Cases'!$C$6)),"X","")</f>
        <v/>
      </c>
      <c r="H6" s="10" t="str">
        <f>IF(ISNUMBER(SEARCH($A6,'1.3 Test Cases'!$C$7)),"X","")</f>
        <v/>
      </c>
      <c r="I6" s="10" t="str">
        <f>IF(ISNUMBER(SEARCH($A6,'1.3 Test Cases'!$C$8)),"X","")</f>
        <v/>
      </c>
      <c r="J6" s="10" t="str">
        <f>IF(ISNUMBER(SEARCH($A6,'1.3 Test Cases'!$C$9)),"X","")</f>
        <v/>
      </c>
      <c r="K6" s="10" t="str">
        <f>IF(ISNUMBER(SEARCH($A6,'1.3 Test Cases'!$C$10)),"X","")</f>
        <v>X</v>
      </c>
      <c r="L6" s="10" t="str">
        <f>IF(ISNUMBER(SEARCH($A6,'1.3 Test Cases'!$C$11)),"X","")</f>
        <v/>
      </c>
      <c r="M6" s="10" t="str">
        <f>IF(ISNUMBER(SEARCH($A6,'1.3 Test Cases'!$C$12)),"X","")</f>
        <v/>
      </c>
      <c r="N6" s="10" t="str">
        <f>IF(ISNUMBER(SEARCH($A6,'1.3 Test Cases'!$C$13)),"X","")</f>
        <v/>
      </c>
      <c r="O6" s="18">
        <f t="shared" si="0"/>
        <v>3</v>
      </c>
      <c r="P6" s="10" t="str">
        <f t="shared" si="1"/>
        <v>Covered</v>
      </c>
    </row>
    <row r="7" spans="1:16" ht="27" customHeight="1" x14ac:dyDescent="0.3">
      <c r="A7" s="16" t="str">
        <f>Requirements!A6</f>
        <v>AC5</v>
      </c>
      <c r="B7" s="17" t="str">
        <f>Requirements!C6</f>
        <v>On success: source debited, reference generated, confirmation screen shown, confirmation SMS sent.</v>
      </c>
      <c r="C7" s="10" t="str">
        <f>IF(ISNUMBER(SEARCH($A7,'1.3 Test Cases'!$C$2)),"X","")</f>
        <v>X</v>
      </c>
      <c r="D7" s="10" t="str">
        <f>IF(ISNUMBER(SEARCH($A7,'1.3 Test Cases'!$C$3)),"X","")</f>
        <v/>
      </c>
      <c r="E7" s="10" t="str">
        <f>IF(ISNUMBER(SEARCH($A7,'1.3 Test Cases'!$C$4)),"X","")</f>
        <v/>
      </c>
      <c r="F7" s="10" t="str">
        <f>IF(ISNUMBER(SEARCH($A7,'1.3 Test Cases'!$C$5)),"X","")</f>
        <v/>
      </c>
      <c r="G7" s="10" t="str">
        <f>IF(ISNUMBER(SEARCH($A7,'1.3 Test Cases'!$C$6)),"X","")</f>
        <v/>
      </c>
      <c r="H7" s="10" t="str">
        <f>IF(ISNUMBER(SEARCH($A7,'1.3 Test Cases'!$C$7)),"X","")</f>
        <v/>
      </c>
      <c r="I7" s="10" t="str">
        <f>IF(ISNUMBER(SEARCH($A7,'1.3 Test Cases'!$C$8)),"X","")</f>
        <v>X</v>
      </c>
      <c r="J7" s="10" t="str">
        <f>IF(ISNUMBER(SEARCH($A7,'1.3 Test Cases'!$C$9)),"X","")</f>
        <v/>
      </c>
      <c r="K7" s="10" t="str">
        <f>IF(ISNUMBER(SEARCH($A7,'1.3 Test Cases'!$C$10)),"X","")</f>
        <v/>
      </c>
      <c r="L7" s="10" t="str">
        <f>IF(ISNUMBER(SEARCH($A7,'1.3 Test Cases'!$C$11)),"X","")</f>
        <v/>
      </c>
      <c r="M7" s="10" t="str">
        <f>IF(ISNUMBER(SEARCH($A7,'1.3 Test Cases'!$C$12)),"X","")</f>
        <v/>
      </c>
      <c r="N7" s="10" t="str">
        <f>IF(ISNUMBER(SEARCH($A7,'1.3 Test Cases'!$C$13)),"X","")</f>
        <v/>
      </c>
      <c r="O7" s="18">
        <f t="shared" si="0"/>
        <v>2</v>
      </c>
      <c r="P7" s="10" t="str">
        <f t="shared" si="1"/>
        <v>Covered</v>
      </c>
    </row>
    <row r="8" spans="1:16" ht="27" customHeight="1" x14ac:dyDescent="0.3">
      <c r="A8" s="16" t="str">
        <f>Requirements!A7</f>
        <v>AC6</v>
      </c>
      <c r="B8" s="17" t="str">
        <f>Requirements!C7</f>
        <v>If the transfer cannot be completed, the customer is shown an error message.</v>
      </c>
      <c r="C8" s="10" t="str">
        <f>IF(ISNUMBER(SEARCH($A8,'1.3 Test Cases'!$C$2)),"X","")</f>
        <v/>
      </c>
      <c r="D8" s="10" t="str">
        <f>IF(ISNUMBER(SEARCH($A8,'1.3 Test Cases'!$C$3)),"X","")</f>
        <v>X</v>
      </c>
      <c r="E8" s="10" t="str">
        <f>IF(ISNUMBER(SEARCH($A8,'1.3 Test Cases'!$C$4)),"X","")</f>
        <v>X</v>
      </c>
      <c r="F8" s="10" t="str">
        <f>IF(ISNUMBER(SEARCH($A8,'1.3 Test Cases'!$C$5)),"X","")</f>
        <v>X</v>
      </c>
      <c r="G8" s="10" t="str">
        <f>IF(ISNUMBER(SEARCH($A8,'1.3 Test Cases'!$C$6)),"X","")</f>
        <v>X</v>
      </c>
      <c r="H8" s="10" t="str">
        <f>IF(ISNUMBER(SEARCH($A8,'1.3 Test Cases'!$C$7)),"X","")</f>
        <v/>
      </c>
      <c r="I8" s="10" t="str">
        <f>IF(ISNUMBER(SEARCH($A8,'1.3 Test Cases'!$C$8)),"X","")</f>
        <v/>
      </c>
      <c r="J8" s="10" t="str">
        <f>IF(ISNUMBER(SEARCH($A8,'1.3 Test Cases'!$C$9)),"X","")</f>
        <v>X</v>
      </c>
      <c r="K8" s="10" t="str">
        <f>IF(ISNUMBER(SEARCH($A8,'1.3 Test Cases'!$C$10)),"X","")</f>
        <v/>
      </c>
      <c r="L8" s="10" t="str">
        <f>IF(ISNUMBER(SEARCH($A8,'1.3 Test Cases'!$C$11)),"X","")</f>
        <v>X</v>
      </c>
      <c r="M8" s="10" t="str">
        <f>IF(ISNUMBER(SEARCH($A8,'1.3 Test Cases'!$C$12)),"X","")</f>
        <v>X</v>
      </c>
      <c r="N8" s="10" t="str">
        <f>IF(ISNUMBER(SEARCH($A8,'1.3 Test Cases'!$C$13)),"X","")</f>
        <v/>
      </c>
      <c r="O8" s="18">
        <f t="shared" si="0"/>
        <v>7</v>
      </c>
      <c r="P8" s="10" t="str">
        <f t="shared" si="1"/>
        <v>Covered</v>
      </c>
    </row>
    <row r="9" spans="1:16" ht="27" customHeight="1" x14ac:dyDescent="0.3">
      <c r="A9" s="16" t="str">
        <f>Requirements!A8</f>
        <v>IR1</v>
      </c>
      <c r="B9" s="17" t="str">
        <f>Requirements!C8</f>
        <v>Insufficient funds are rejected before OTP, with the fee included in the balance check.</v>
      </c>
      <c r="C9" s="10" t="str">
        <f>IF(ISNUMBER(SEARCH($A9,'1.3 Test Cases'!$C$2)),"X","")</f>
        <v/>
      </c>
      <c r="D9" s="10" t="str">
        <f>IF(ISNUMBER(SEARCH($A9,'1.3 Test Cases'!$C$3)),"X","")</f>
        <v/>
      </c>
      <c r="E9" s="10" t="str">
        <f>IF(ISNUMBER(SEARCH($A9,'1.3 Test Cases'!$C$4)),"X","")</f>
        <v/>
      </c>
      <c r="F9" s="10" t="str">
        <f>IF(ISNUMBER(SEARCH($A9,'1.3 Test Cases'!$C$5)),"X","")</f>
        <v>X</v>
      </c>
      <c r="G9" s="10" t="str">
        <f>IF(ISNUMBER(SEARCH($A9,'1.3 Test Cases'!$C$6)),"X","")</f>
        <v/>
      </c>
      <c r="H9" s="10" t="str">
        <f>IF(ISNUMBER(SEARCH($A9,'1.3 Test Cases'!$C$7)),"X","")</f>
        <v/>
      </c>
      <c r="I9" s="10" t="str">
        <f>IF(ISNUMBER(SEARCH($A9,'1.3 Test Cases'!$C$8)),"X","")</f>
        <v/>
      </c>
      <c r="J9" s="10" t="str">
        <f>IF(ISNUMBER(SEARCH($A9,'1.3 Test Cases'!$C$9)),"X","")</f>
        <v/>
      </c>
      <c r="K9" s="10" t="str">
        <f>IF(ISNUMBER(SEARCH($A9,'1.3 Test Cases'!$C$10)),"X","")</f>
        <v/>
      </c>
      <c r="L9" s="10" t="str">
        <f>IF(ISNUMBER(SEARCH($A9,'1.3 Test Cases'!$C$11)),"X","")</f>
        <v/>
      </c>
      <c r="M9" s="10" t="str">
        <f>IF(ISNUMBER(SEARCH($A9,'1.3 Test Cases'!$C$12)),"X","")</f>
        <v/>
      </c>
      <c r="N9" s="10" t="str">
        <f>IF(ISNUMBER(SEARCH($A9,'1.3 Test Cases'!$C$13)),"X","")</f>
        <v/>
      </c>
      <c r="O9" s="18">
        <f t="shared" si="0"/>
        <v>1</v>
      </c>
      <c r="P9" s="10" t="str">
        <f t="shared" si="1"/>
        <v>Covered</v>
      </c>
    </row>
    <row r="10" spans="1:16" ht="27" customHeight="1" x14ac:dyDescent="0.3">
      <c r="A10" s="16" t="str">
        <f>Requirements!A9</f>
        <v>IR2</v>
      </c>
      <c r="B10" s="17" t="str">
        <f>Requirements!C9</f>
        <v>A failure after the debit loses no money: either nothing is debited or the debit is reversed automatically.</v>
      </c>
      <c r="C10" s="10" t="str">
        <f>IF(ISNUMBER(SEARCH($A10,'1.3 Test Cases'!$C$2)),"X","")</f>
        <v/>
      </c>
      <c r="D10" s="10" t="str">
        <f>IF(ISNUMBER(SEARCH($A10,'1.3 Test Cases'!$C$3)),"X","")</f>
        <v/>
      </c>
      <c r="E10" s="10" t="str">
        <f>IF(ISNUMBER(SEARCH($A10,'1.3 Test Cases'!$C$4)),"X","")</f>
        <v/>
      </c>
      <c r="F10" s="10" t="str">
        <f>IF(ISNUMBER(SEARCH($A10,'1.3 Test Cases'!$C$5)),"X","")</f>
        <v/>
      </c>
      <c r="G10" s="10" t="str">
        <f>IF(ISNUMBER(SEARCH($A10,'1.3 Test Cases'!$C$6)),"X","")</f>
        <v/>
      </c>
      <c r="H10" s="10" t="str">
        <f>IF(ISNUMBER(SEARCH($A10,'1.3 Test Cases'!$C$7)),"X","")</f>
        <v/>
      </c>
      <c r="I10" s="10" t="str">
        <f>IF(ISNUMBER(SEARCH($A10,'1.3 Test Cases'!$C$8)),"X","")</f>
        <v/>
      </c>
      <c r="J10" s="10" t="str">
        <f>IF(ISNUMBER(SEARCH($A10,'1.3 Test Cases'!$C$9)),"X","")</f>
        <v>X</v>
      </c>
      <c r="K10" s="10" t="str">
        <f>IF(ISNUMBER(SEARCH($A10,'1.3 Test Cases'!$C$10)),"X","")</f>
        <v/>
      </c>
      <c r="L10" s="10" t="str">
        <f>IF(ISNUMBER(SEARCH($A10,'1.3 Test Cases'!$C$11)),"X","")</f>
        <v/>
      </c>
      <c r="M10" s="10" t="str">
        <f>IF(ISNUMBER(SEARCH($A10,'1.3 Test Cases'!$C$12)),"X","")</f>
        <v/>
      </c>
      <c r="N10" s="10" t="str">
        <f>IF(ISNUMBER(SEARCH($A10,'1.3 Test Cases'!$C$13)),"X","")</f>
        <v/>
      </c>
      <c r="O10" s="18">
        <f t="shared" si="0"/>
        <v>1</v>
      </c>
      <c r="P10" s="10" t="str">
        <f t="shared" si="1"/>
        <v>Covered</v>
      </c>
    </row>
    <row r="11" spans="1:16" ht="27" customHeight="1" x14ac:dyDescent="0.3">
      <c r="A11" s="16" t="str">
        <f>Requirements!A10</f>
        <v>IR3</v>
      </c>
      <c r="B11" s="17" t="str">
        <f>Requirements!C10</f>
        <v>An OTP is valid only for the transfer details it was issued for.</v>
      </c>
      <c r="C11" s="10" t="str">
        <f>IF(ISNUMBER(SEARCH($A11,'1.3 Test Cases'!$C$2)),"X","")</f>
        <v/>
      </c>
      <c r="D11" s="10" t="str">
        <f>IF(ISNUMBER(SEARCH($A11,'1.3 Test Cases'!$C$3)),"X","")</f>
        <v/>
      </c>
      <c r="E11" s="10" t="str">
        <f>IF(ISNUMBER(SEARCH($A11,'1.3 Test Cases'!$C$4)),"X","")</f>
        <v/>
      </c>
      <c r="F11" s="10" t="str">
        <f>IF(ISNUMBER(SEARCH($A11,'1.3 Test Cases'!$C$5)),"X","")</f>
        <v/>
      </c>
      <c r="G11" s="10" t="str">
        <f>IF(ISNUMBER(SEARCH($A11,'1.3 Test Cases'!$C$6)),"X","")</f>
        <v/>
      </c>
      <c r="H11" s="10" t="str">
        <f>IF(ISNUMBER(SEARCH($A11,'1.3 Test Cases'!$C$7)),"X","")</f>
        <v>X</v>
      </c>
      <c r="I11" s="10" t="str">
        <f>IF(ISNUMBER(SEARCH($A11,'1.3 Test Cases'!$C$8)),"X","")</f>
        <v/>
      </c>
      <c r="J11" s="10" t="str">
        <f>IF(ISNUMBER(SEARCH($A11,'1.3 Test Cases'!$C$9)),"X","")</f>
        <v/>
      </c>
      <c r="K11" s="10" t="str">
        <f>IF(ISNUMBER(SEARCH($A11,'1.3 Test Cases'!$C$10)),"X","")</f>
        <v/>
      </c>
      <c r="L11" s="10" t="str">
        <f>IF(ISNUMBER(SEARCH($A11,'1.3 Test Cases'!$C$11)),"X","")</f>
        <v/>
      </c>
      <c r="M11" s="10" t="str">
        <f>IF(ISNUMBER(SEARCH($A11,'1.3 Test Cases'!$C$12)),"X","")</f>
        <v/>
      </c>
      <c r="N11" s="10" t="str">
        <f>IF(ISNUMBER(SEARCH($A11,'1.3 Test Cases'!$C$13)),"X","")</f>
        <v/>
      </c>
      <c r="O11" s="18">
        <f t="shared" si="0"/>
        <v>1</v>
      </c>
      <c r="P11" s="10" t="str">
        <f t="shared" si="1"/>
        <v>Covered</v>
      </c>
    </row>
    <row r="12" spans="1:16" ht="27" customHeight="1" x14ac:dyDescent="0.3">
      <c r="A12" s="16" t="str">
        <f>Requirements!A11</f>
        <v>IR4</v>
      </c>
      <c r="B12" s="17" t="str">
        <f>Requirements!C11</f>
        <v>A duplicate submission or retry results in at most one debit.</v>
      </c>
      <c r="C12" s="10" t="str">
        <f>IF(ISNUMBER(SEARCH($A12,'1.3 Test Cases'!$C$2)),"X","")</f>
        <v/>
      </c>
      <c r="D12" s="10" t="str">
        <f>IF(ISNUMBER(SEARCH($A12,'1.3 Test Cases'!$C$3)),"X","")</f>
        <v/>
      </c>
      <c r="E12" s="10" t="str">
        <f>IF(ISNUMBER(SEARCH($A12,'1.3 Test Cases'!$C$4)),"X","")</f>
        <v/>
      </c>
      <c r="F12" s="10" t="str">
        <f>IF(ISNUMBER(SEARCH($A12,'1.3 Test Cases'!$C$5)),"X","")</f>
        <v/>
      </c>
      <c r="G12" s="10" t="str">
        <f>IF(ISNUMBER(SEARCH($A12,'1.3 Test Cases'!$C$6)),"X","")</f>
        <v/>
      </c>
      <c r="H12" s="10" t="str">
        <f>IF(ISNUMBER(SEARCH($A12,'1.3 Test Cases'!$C$7)),"X","")</f>
        <v/>
      </c>
      <c r="I12" s="10" t="str">
        <f>IF(ISNUMBER(SEARCH($A12,'1.3 Test Cases'!$C$8)),"X","")</f>
        <v>X</v>
      </c>
      <c r="J12" s="10" t="str">
        <f>IF(ISNUMBER(SEARCH($A12,'1.3 Test Cases'!$C$9)),"X","")</f>
        <v/>
      </c>
      <c r="K12" s="10" t="str">
        <f>IF(ISNUMBER(SEARCH($A12,'1.3 Test Cases'!$C$10)),"X","")</f>
        <v/>
      </c>
      <c r="L12" s="10" t="str">
        <f>IF(ISNUMBER(SEARCH($A12,'1.3 Test Cases'!$C$11)),"X","")</f>
        <v/>
      </c>
      <c r="M12" s="10" t="str">
        <f>IF(ISNUMBER(SEARCH($A12,'1.3 Test Cases'!$C$12)),"X","")</f>
        <v/>
      </c>
      <c r="N12" s="10" t="str">
        <f>IF(ISNUMBER(SEARCH($A12,'1.3 Test Cases'!$C$13)),"X","")</f>
        <v/>
      </c>
      <c r="O12" s="18">
        <f t="shared" si="0"/>
        <v>1</v>
      </c>
      <c r="P12" s="10" t="str">
        <f t="shared" si="1"/>
        <v>Covered</v>
      </c>
    </row>
    <row r="13" spans="1:16" ht="27" customHeight="1" x14ac:dyDescent="0.3">
      <c r="A13" s="16" t="str">
        <f>Requirements!A12</f>
        <v>IR5</v>
      </c>
      <c r="B13" s="17" t="str">
        <f>Requirements!C12</f>
        <v>Limits hold when transfers are submitted at the same time.</v>
      </c>
      <c r="C13" s="10" t="str">
        <f>IF(ISNUMBER(SEARCH($A13,'1.3 Test Cases'!$C$2)),"X","")</f>
        <v/>
      </c>
      <c r="D13" s="10" t="str">
        <f>IF(ISNUMBER(SEARCH($A13,'1.3 Test Cases'!$C$3)),"X","")</f>
        <v/>
      </c>
      <c r="E13" s="10" t="str">
        <f>IF(ISNUMBER(SEARCH($A13,'1.3 Test Cases'!$C$4)),"X","")</f>
        <v/>
      </c>
      <c r="F13" s="10" t="str">
        <f>IF(ISNUMBER(SEARCH($A13,'1.3 Test Cases'!$C$5)),"X","")</f>
        <v/>
      </c>
      <c r="G13" s="10" t="str">
        <f>IF(ISNUMBER(SEARCH($A13,'1.3 Test Cases'!$C$6)),"X","")</f>
        <v/>
      </c>
      <c r="H13" s="10" t="str">
        <f>IF(ISNUMBER(SEARCH($A13,'1.3 Test Cases'!$C$7)),"X","")</f>
        <v/>
      </c>
      <c r="I13" s="10" t="str">
        <f>IF(ISNUMBER(SEARCH($A13,'1.3 Test Cases'!$C$8)),"X","")</f>
        <v/>
      </c>
      <c r="J13" s="10" t="str">
        <f>IF(ISNUMBER(SEARCH($A13,'1.3 Test Cases'!$C$9)),"X","")</f>
        <v/>
      </c>
      <c r="K13" s="10" t="str">
        <f>IF(ISNUMBER(SEARCH($A13,'1.3 Test Cases'!$C$10)),"X","")</f>
        <v>X</v>
      </c>
      <c r="L13" s="10" t="str">
        <f>IF(ISNUMBER(SEARCH($A13,'1.3 Test Cases'!$C$11)),"X","")</f>
        <v/>
      </c>
      <c r="M13" s="10" t="str">
        <f>IF(ISNUMBER(SEARCH($A13,'1.3 Test Cases'!$C$12)),"X","")</f>
        <v/>
      </c>
      <c r="N13" s="10" t="str">
        <f>IF(ISNUMBER(SEARCH($A13,'1.3 Test Cases'!$C$13)),"X","")</f>
        <v/>
      </c>
      <c r="O13" s="18">
        <f t="shared" si="0"/>
        <v>1</v>
      </c>
      <c r="P13" s="10" t="str">
        <f t="shared" si="1"/>
        <v>Covered</v>
      </c>
    </row>
    <row r="14" spans="1:16" ht="27" customHeight="1" x14ac:dyDescent="0.3">
      <c r="A14" s="16" t="str">
        <f>Requirements!A13</f>
        <v>IR6</v>
      </c>
      <c r="B14" s="17" t="str">
        <f>Requirements!C13</f>
        <v>A customer can transfer only from their own accounts to their own registered beneficiaries (enforced by the service, not just the UI).</v>
      </c>
      <c r="C14" s="10" t="str">
        <f>IF(ISNUMBER(SEARCH($A14,'1.3 Test Cases'!$C$2)),"X","")</f>
        <v/>
      </c>
      <c r="D14" s="10" t="str">
        <f>IF(ISNUMBER(SEARCH($A14,'1.3 Test Cases'!$C$3)),"X","")</f>
        <v/>
      </c>
      <c r="E14" s="10" t="str">
        <f>IF(ISNUMBER(SEARCH($A14,'1.3 Test Cases'!$C$4)),"X","")</f>
        <v/>
      </c>
      <c r="F14" s="10" t="str">
        <f>IF(ISNUMBER(SEARCH($A14,'1.3 Test Cases'!$C$5)),"X","")</f>
        <v/>
      </c>
      <c r="G14" s="10" t="str">
        <f>IF(ISNUMBER(SEARCH($A14,'1.3 Test Cases'!$C$6)),"X","")</f>
        <v/>
      </c>
      <c r="H14" s="10" t="str">
        <f>IF(ISNUMBER(SEARCH($A14,'1.3 Test Cases'!$C$7)),"X","")</f>
        <v/>
      </c>
      <c r="I14" s="10" t="str">
        <f>IF(ISNUMBER(SEARCH($A14,'1.3 Test Cases'!$C$8)),"X","")</f>
        <v/>
      </c>
      <c r="J14" s="10" t="str">
        <f>IF(ISNUMBER(SEARCH($A14,'1.3 Test Cases'!$C$9)),"X","")</f>
        <v/>
      </c>
      <c r="K14" s="10" t="str">
        <f>IF(ISNUMBER(SEARCH($A14,'1.3 Test Cases'!$C$10)),"X","")</f>
        <v/>
      </c>
      <c r="L14" s="10" t="str">
        <f>IF(ISNUMBER(SEARCH($A14,'1.3 Test Cases'!$C$11)),"X","")</f>
        <v/>
      </c>
      <c r="M14" s="10" t="str">
        <f>IF(ISNUMBER(SEARCH($A14,'1.3 Test Cases'!$C$12)),"X","")</f>
        <v/>
      </c>
      <c r="N14" s="10" t="str">
        <f>IF(ISNUMBER(SEARCH($A14,'1.3 Test Cases'!$C$13)),"X","")</f>
        <v>X</v>
      </c>
      <c r="O14" s="18">
        <f t="shared" si="0"/>
        <v>1</v>
      </c>
      <c r="P14" s="10" t="str">
        <f t="shared" si="1"/>
        <v>Covered</v>
      </c>
    </row>
    <row r="15" spans="1:16" x14ac:dyDescent="0.3">
      <c r="B15" s="19" t="str">
        <f>COUNTIF(P3:P14,"Covered")&amp;" of "&amp;ROWS(P3:P14)&amp;" covered"</f>
        <v>12 of 12 covered</v>
      </c>
    </row>
    <row r="17" spans="1:17" x14ac:dyDescent="0.3">
      <c r="A17" s="14" t="s">
        <v>280</v>
      </c>
    </row>
    <row r="18" spans="1:17" x14ac:dyDescent="0.3">
      <c r="A18" s="15" t="s">
        <v>79</v>
      </c>
      <c r="B18" s="15" t="s">
        <v>277</v>
      </c>
      <c r="C18" s="15" t="s">
        <v>179</v>
      </c>
      <c r="D18" s="15" t="s">
        <v>191</v>
      </c>
      <c r="E18" s="15" t="s">
        <v>200</v>
      </c>
      <c r="F18" s="15" t="s">
        <v>207</v>
      </c>
      <c r="G18" s="15" t="s">
        <v>214</v>
      </c>
      <c r="H18" s="15" t="s">
        <v>223</v>
      </c>
      <c r="I18" s="15" t="s">
        <v>230</v>
      </c>
      <c r="J18" s="15" t="s">
        <v>237</v>
      </c>
      <c r="K18" s="15" t="s">
        <v>247</v>
      </c>
      <c r="L18" s="15" t="s">
        <v>254</v>
      </c>
      <c r="M18" s="15" t="s">
        <v>263</v>
      </c>
      <c r="N18" s="15" t="s">
        <v>269</v>
      </c>
      <c r="O18" s="15" t="s">
        <v>278</v>
      </c>
      <c r="P18" s="15" t="s">
        <v>279</v>
      </c>
      <c r="Q18" s="15" t="s">
        <v>118</v>
      </c>
    </row>
    <row r="19" spans="1:17" ht="27" customHeight="1" x14ac:dyDescent="0.3">
      <c r="A19" s="16" t="str">
        <f>'1.2 Risk Register'!A2</f>
        <v>R1</v>
      </c>
      <c r="B19" s="17" t="str">
        <f>'1.2 Risk Register'!B2</f>
        <v>Partial failure: account debited but transfer fails, no reversal, customer retries</v>
      </c>
      <c r="C19" s="10" t="str">
        <f>IF(ISNUMBER(SEARCH($A19,'1.3 Test Cases'!$D$2)),"X","")</f>
        <v>X</v>
      </c>
      <c r="D19" s="10" t="str">
        <f>IF(ISNUMBER(SEARCH($A19,'1.3 Test Cases'!$D$3)),"X","")</f>
        <v/>
      </c>
      <c r="E19" s="10" t="str">
        <f>IF(ISNUMBER(SEARCH($A19,'1.3 Test Cases'!$D$4)),"X","")</f>
        <v/>
      </c>
      <c r="F19" s="10" t="str">
        <f>IF(ISNUMBER(SEARCH($A19,'1.3 Test Cases'!$D$5)),"X","")</f>
        <v/>
      </c>
      <c r="G19" s="10" t="str">
        <f>IF(ISNUMBER(SEARCH($A19,'1.3 Test Cases'!$D$6)),"X","")</f>
        <v/>
      </c>
      <c r="H19" s="10" t="str">
        <f>IF(ISNUMBER(SEARCH($A19,'1.3 Test Cases'!$D$7)),"X","")</f>
        <v/>
      </c>
      <c r="I19" s="10" t="str">
        <f>IF(ISNUMBER(SEARCH($A19,'1.3 Test Cases'!$D$8)),"X","")</f>
        <v>X</v>
      </c>
      <c r="J19" s="10" t="str">
        <f>IF(ISNUMBER(SEARCH($A19,'1.3 Test Cases'!$D$9)),"X","")</f>
        <v>X</v>
      </c>
      <c r="K19" s="10" t="str">
        <f>IF(ISNUMBER(SEARCH($A19,'1.3 Test Cases'!$D$10)),"X","")</f>
        <v/>
      </c>
      <c r="L19" s="10" t="str">
        <f>IF(ISNUMBER(SEARCH($A19,'1.3 Test Cases'!$D$11)),"X","")</f>
        <v/>
      </c>
      <c r="M19" s="10" t="str">
        <f>IF(ISNUMBER(SEARCH($A19,'1.3 Test Cases'!$D$12)),"X","")</f>
        <v/>
      </c>
      <c r="N19" s="10" t="str">
        <f>IF(ISNUMBER(SEARCH($A19,'1.3 Test Cases'!$D$13)),"X","")</f>
        <v/>
      </c>
      <c r="O19" s="18">
        <f t="shared" ref="O19:O24" si="2">COUNTIF(C19:N19,"X")</f>
        <v>3</v>
      </c>
      <c r="P19" s="10" t="str">
        <f t="shared" ref="P19:P24" si="3">IF(O19&gt;0,"Covered","Not covered")</f>
        <v>Covered</v>
      </c>
      <c r="Q19" s="16" t="str">
        <f>'1.2 Risk Register'!G2</f>
        <v>High</v>
      </c>
    </row>
    <row r="20" spans="1:17" ht="27" customHeight="1" x14ac:dyDescent="0.3">
      <c r="A20" s="16" t="str">
        <f>'1.2 Risk Register'!A3</f>
        <v>R2</v>
      </c>
      <c r="B20" s="17" t="str">
        <f>'1.2 Risk Register'!B3</f>
        <v>Limits not enforced correctly (boundary, daily window, pending transfers, simultaneous requests)</v>
      </c>
      <c r="C20" s="10" t="str">
        <f>IF(ISNUMBER(SEARCH($A20,'1.3 Test Cases'!$D$2)),"X","")</f>
        <v/>
      </c>
      <c r="D20" s="10" t="str">
        <f>IF(ISNUMBER(SEARCH($A20,'1.3 Test Cases'!$D$3)),"X","")</f>
        <v>X</v>
      </c>
      <c r="E20" s="10" t="str">
        <f>IF(ISNUMBER(SEARCH($A20,'1.3 Test Cases'!$D$4)),"X","")</f>
        <v>X</v>
      </c>
      <c r="F20" s="10" t="str">
        <f>IF(ISNUMBER(SEARCH($A20,'1.3 Test Cases'!$D$5)),"X","")</f>
        <v/>
      </c>
      <c r="G20" s="10" t="str">
        <f>IF(ISNUMBER(SEARCH($A20,'1.3 Test Cases'!$D$6)),"X","")</f>
        <v/>
      </c>
      <c r="H20" s="10" t="str">
        <f>IF(ISNUMBER(SEARCH($A20,'1.3 Test Cases'!$D$7)),"X","")</f>
        <v/>
      </c>
      <c r="I20" s="10" t="str">
        <f>IF(ISNUMBER(SEARCH($A20,'1.3 Test Cases'!$D$8)),"X","")</f>
        <v/>
      </c>
      <c r="J20" s="10" t="str">
        <f>IF(ISNUMBER(SEARCH($A20,'1.3 Test Cases'!$D$9)),"X","")</f>
        <v/>
      </c>
      <c r="K20" s="10" t="str">
        <f>IF(ISNUMBER(SEARCH($A20,'1.3 Test Cases'!$D$10)),"X","")</f>
        <v>X</v>
      </c>
      <c r="L20" s="10" t="str">
        <f>IF(ISNUMBER(SEARCH($A20,'1.3 Test Cases'!$D$11)),"X","")</f>
        <v/>
      </c>
      <c r="M20" s="10" t="str">
        <f>IF(ISNUMBER(SEARCH($A20,'1.3 Test Cases'!$D$12)),"X","")</f>
        <v>X</v>
      </c>
      <c r="N20" s="10" t="str">
        <f>IF(ISNUMBER(SEARCH($A20,'1.3 Test Cases'!$D$13)),"X","")</f>
        <v/>
      </c>
      <c r="O20" s="18">
        <f t="shared" si="2"/>
        <v>4</v>
      </c>
      <c r="P20" s="10" t="str">
        <f t="shared" si="3"/>
        <v>Covered</v>
      </c>
      <c r="Q20" s="16" t="str">
        <f>'1.2 Risk Register'!G3</f>
        <v>High</v>
      </c>
    </row>
    <row r="21" spans="1:17" ht="27" customHeight="1" x14ac:dyDescent="0.3">
      <c r="A21" s="16" t="str">
        <f>'1.2 Risk Register'!A4</f>
        <v>R3</v>
      </c>
      <c r="B21" s="17" t="str">
        <f>'1.2 Risk Register'!B4</f>
        <v>OTP does not protect the transfer the customer actually approved</v>
      </c>
      <c r="C21" s="10" t="str">
        <f>IF(ISNUMBER(SEARCH($A21,'1.3 Test Cases'!$D$2)),"X","")</f>
        <v/>
      </c>
      <c r="D21" s="10" t="str">
        <f>IF(ISNUMBER(SEARCH($A21,'1.3 Test Cases'!$D$3)),"X","")</f>
        <v/>
      </c>
      <c r="E21" s="10" t="str">
        <f>IF(ISNUMBER(SEARCH($A21,'1.3 Test Cases'!$D$4)),"X","")</f>
        <v/>
      </c>
      <c r="F21" s="10" t="str">
        <f>IF(ISNUMBER(SEARCH($A21,'1.3 Test Cases'!$D$5)),"X","")</f>
        <v/>
      </c>
      <c r="G21" s="10" t="str">
        <f>IF(ISNUMBER(SEARCH($A21,'1.3 Test Cases'!$D$6)),"X","")</f>
        <v>X</v>
      </c>
      <c r="H21" s="10" t="str">
        <f>IF(ISNUMBER(SEARCH($A21,'1.3 Test Cases'!$D$7)),"X","")</f>
        <v>X</v>
      </c>
      <c r="I21" s="10" t="str">
        <f>IF(ISNUMBER(SEARCH($A21,'1.3 Test Cases'!$D$8)),"X","")</f>
        <v/>
      </c>
      <c r="J21" s="10" t="str">
        <f>IF(ISNUMBER(SEARCH($A21,'1.3 Test Cases'!$D$9)),"X","")</f>
        <v/>
      </c>
      <c r="K21" s="10" t="str">
        <f>IF(ISNUMBER(SEARCH($A21,'1.3 Test Cases'!$D$10)),"X","")</f>
        <v/>
      </c>
      <c r="L21" s="10" t="str">
        <f>IF(ISNUMBER(SEARCH($A21,'1.3 Test Cases'!$D$11)),"X","")</f>
        <v/>
      </c>
      <c r="M21" s="10" t="str">
        <f>IF(ISNUMBER(SEARCH($A21,'1.3 Test Cases'!$D$12)),"X","")</f>
        <v/>
      </c>
      <c r="N21" s="10" t="str">
        <f>IF(ISNUMBER(SEARCH($A21,'1.3 Test Cases'!$D$13)),"X","")</f>
        <v/>
      </c>
      <c r="O21" s="18">
        <f t="shared" si="2"/>
        <v>2</v>
      </c>
      <c r="P21" s="10" t="str">
        <f t="shared" si="3"/>
        <v>Covered</v>
      </c>
      <c r="Q21" s="16" t="str">
        <f>'1.2 Risk Register'!G4</f>
        <v>High</v>
      </c>
    </row>
    <row r="22" spans="1:17" ht="27" customHeight="1" x14ac:dyDescent="0.3">
      <c r="A22" s="16" t="str">
        <f>'1.2 Risk Register'!A5</f>
        <v>R4</v>
      </c>
      <c r="B22" s="17" t="str">
        <f>'1.2 Risk Register'!B5</f>
        <v>Account-ownership checks: customer can only use their own accounts and beneficiaries</v>
      </c>
      <c r="C22" s="10" t="str">
        <f>IF(ISNUMBER(SEARCH($A22,'1.3 Test Cases'!$D$2)),"X","")</f>
        <v/>
      </c>
      <c r="D22" s="10" t="str">
        <f>IF(ISNUMBER(SEARCH($A22,'1.3 Test Cases'!$D$3)),"X","")</f>
        <v/>
      </c>
      <c r="E22" s="10" t="str">
        <f>IF(ISNUMBER(SEARCH($A22,'1.3 Test Cases'!$D$4)),"X","")</f>
        <v/>
      </c>
      <c r="F22" s="10" t="str">
        <f>IF(ISNUMBER(SEARCH($A22,'1.3 Test Cases'!$D$5)),"X","")</f>
        <v/>
      </c>
      <c r="G22" s="10" t="str">
        <f>IF(ISNUMBER(SEARCH($A22,'1.3 Test Cases'!$D$6)),"X","")</f>
        <v/>
      </c>
      <c r="H22" s="10" t="str">
        <f>IF(ISNUMBER(SEARCH($A22,'1.3 Test Cases'!$D$7)),"X","")</f>
        <v/>
      </c>
      <c r="I22" s="10" t="str">
        <f>IF(ISNUMBER(SEARCH($A22,'1.3 Test Cases'!$D$8)),"X","")</f>
        <v/>
      </c>
      <c r="J22" s="10" t="str">
        <f>IF(ISNUMBER(SEARCH($A22,'1.3 Test Cases'!$D$9)),"X","")</f>
        <v/>
      </c>
      <c r="K22" s="10" t="str">
        <f>IF(ISNUMBER(SEARCH($A22,'1.3 Test Cases'!$D$10)),"X","")</f>
        <v/>
      </c>
      <c r="L22" s="10" t="str">
        <f>IF(ISNUMBER(SEARCH($A22,'1.3 Test Cases'!$D$11)),"X","")</f>
        <v/>
      </c>
      <c r="M22" s="10" t="str">
        <f>IF(ISNUMBER(SEARCH($A22,'1.3 Test Cases'!$D$12)),"X","")</f>
        <v>X</v>
      </c>
      <c r="N22" s="10" t="str">
        <f>IF(ISNUMBER(SEARCH($A22,'1.3 Test Cases'!$D$13)),"X","")</f>
        <v>X</v>
      </c>
      <c r="O22" s="18">
        <f t="shared" si="2"/>
        <v>2</v>
      </c>
      <c r="P22" s="10" t="str">
        <f t="shared" si="3"/>
        <v>Covered</v>
      </c>
      <c r="Q22" s="16" t="str">
        <f>'1.2 Risk Register'!G5</f>
        <v>High</v>
      </c>
    </row>
    <row r="23" spans="1:17" ht="27" customHeight="1" x14ac:dyDescent="0.3">
      <c r="A23" s="16" t="str">
        <f>'1.2 Risk Register'!A6</f>
        <v>R5</v>
      </c>
      <c r="B23" s="17" t="str">
        <f>'1.2 Risk Register'!B6</f>
        <v>Misleading result: generic error when money moved, or success SMS for a failed transfer</v>
      </c>
      <c r="C23" s="10" t="str">
        <f>IF(ISNUMBER(SEARCH($A23,'1.3 Test Cases'!$D$2)),"X","")</f>
        <v>X</v>
      </c>
      <c r="D23" s="10" t="str">
        <f>IF(ISNUMBER(SEARCH($A23,'1.3 Test Cases'!$D$3)),"X","")</f>
        <v/>
      </c>
      <c r="E23" s="10" t="str">
        <f>IF(ISNUMBER(SEARCH($A23,'1.3 Test Cases'!$D$4)),"X","")</f>
        <v/>
      </c>
      <c r="F23" s="10" t="str">
        <f>IF(ISNUMBER(SEARCH($A23,'1.3 Test Cases'!$D$5)),"X","")</f>
        <v/>
      </c>
      <c r="G23" s="10" t="str">
        <f>IF(ISNUMBER(SEARCH($A23,'1.3 Test Cases'!$D$6)),"X","")</f>
        <v/>
      </c>
      <c r="H23" s="10" t="str">
        <f>IF(ISNUMBER(SEARCH($A23,'1.3 Test Cases'!$D$7)),"X","")</f>
        <v/>
      </c>
      <c r="I23" s="10" t="str">
        <f>IF(ISNUMBER(SEARCH($A23,'1.3 Test Cases'!$D$8)),"X","")</f>
        <v/>
      </c>
      <c r="J23" s="10" t="str">
        <f>IF(ISNUMBER(SEARCH($A23,'1.3 Test Cases'!$D$9)),"X","")</f>
        <v>X</v>
      </c>
      <c r="K23" s="10" t="str">
        <f>IF(ISNUMBER(SEARCH($A23,'1.3 Test Cases'!$D$10)),"X","")</f>
        <v/>
      </c>
      <c r="L23" s="10" t="str">
        <f>IF(ISNUMBER(SEARCH($A23,'1.3 Test Cases'!$D$11)),"X","")</f>
        <v/>
      </c>
      <c r="M23" s="10" t="str">
        <f>IF(ISNUMBER(SEARCH($A23,'1.3 Test Cases'!$D$12)),"X","")</f>
        <v/>
      </c>
      <c r="N23" s="10" t="str">
        <f>IF(ISNUMBER(SEARCH($A23,'1.3 Test Cases'!$D$13)),"X","")</f>
        <v/>
      </c>
      <c r="O23" s="18">
        <f t="shared" si="2"/>
        <v>2</v>
      </c>
      <c r="P23" s="10" t="str">
        <f t="shared" si="3"/>
        <v>Covered</v>
      </c>
      <c r="Q23" s="16" t="str">
        <f>'1.2 Risk Register'!G6</f>
        <v>High</v>
      </c>
    </row>
    <row r="24" spans="1:17" ht="27" customHeight="1" x14ac:dyDescent="0.3">
      <c r="A24" s="16" t="str">
        <f>'1.2 Risk Register'!A7</f>
        <v>R6</v>
      </c>
      <c r="B24" s="17" t="str">
        <f>'1.2 Risk Register'!B7</f>
        <v>Fee or amount mismatch, or rounding</v>
      </c>
      <c r="C24" s="10" t="str">
        <f>IF(ISNUMBER(SEARCH($A24,'1.3 Test Cases'!$D$2)),"X","")</f>
        <v>X</v>
      </c>
      <c r="D24" s="10" t="str">
        <f>IF(ISNUMBER(SEARCH($A24,'1.3 Test Cases'!$D$3)),"X","")</f>
        <v/>
      </c>
      <c r="E24" s="10" t="str">
        <f>IF(ISNUMBER(SEARCH($A24,'1.3 Test Cases'!$D$4)),"X","")</f>
        <v/>
      </c>
      <c r="F24" s="10" t="str">
        <f>IF(ISNUMBER(SEARCH($A24,'1.3 Test Cases'!$D$5)),"X","")</f>
        <v>X</v>
      </c>
      <c r="G24" s="10" t="str">
        <f>IF(ISNUMBER(SEARCH($A24,'1.3 Test Cases'!$D$6)),"X","")</f>
        <v/>
      </c>
      <c r="H24" s="10" t="str">
        <f>IF(ISNUMBER(SEARCH($A24,'1.3 Test Cases'!$D$7)),"X","")</f>
        <v/>
      </c>
      <c r="I24" s="10" t="str">
        <f>IF(ISNUMBER(SEARCH($A24,'1.3 Test Cases'!$D$8)),"X","")</f>
        <v/>
      </c>
      <c r="J24" s="10" t="str">
        <f>IF(ISNUMBER(SEARCH($A24,'1.3 Test Cases'!$D$9)),"X","")</f>
        <v/>
      </c>
      <c r="K24" s="10" t="str">
        <f>IF(ISNUMBER(SEARCH($A24,'1.3 Test Cases'!$D$10)),"X","")</f>
        <v/>
      </c>
      <c r="L24" s="10" t="str">
        <f>IF(ISNUMBER(SEARCH($A24,'1.3 Test Cases'!$D$11)),"X","")</f>
        <v>X</v>
      </c>
      <c r="M24" s="10" t="str">
        <f>IF(ISNUMBER(SEARCH($A24,'1.3 Test Cases'!$D$12)),"X","")</f>
        <v/>
      </c>
      <c r="N24" s="10" t="str">
        <f>IF(ISNUMBER(SEARCH($A24,'1.3 Test Cases'!$D$13)),"X","")</f>
        <v/>
      </c>
      <c r="O24" s="18">
        <f t="shared" si="2"/>
        <v>3</v>
      </c>
      <c r="P24" s="10" t="str">
        <f t="shared" si="3"/>
        <v>Covered</v>
      </c>
      <c r="Q24" s="16" t="str">
        <f>'1.2 Risk Register'!G7</f>
        <v>Medium</v>
      </c>
    </row>
    <row r="25" spans="1:17" x14ac:dyDescent="0.3">
      <c r="B25" s="19" t="str">
        <f>COUNTIF(P19:P24,"Covered")&amp;" of "&amp;ROWS(P19:P24)&amp;" covered"</f>
        <v>6 of 6 covered</v>
      </c>
    </row>
    <row r="27" spans="1:17" x14ac:dyDescent="0.3">
      <c r="B27" s="13" t="s">
        <v>281</v>
      </c>
    </row>
  </sheetData>
  <conditionalFormatting sqref="P3:P14">
    <cfRule type="cellIs" dxfId="3" priority="1" operator="equal">
      <formula>"Covered"</formula>
    </cfRule>
    <cfRule type="cellIs" dxfId="2" priority="2" operator="equal">
      <formula>"Not covered"</formula>
    </cfRule>
  </conditionalFormatting>
  <conditionalFormatting sqref="P19:P24">
    <cfRule type="cellIs" dxfId="1" priority="3" operator="equal">
      <formula>"Covered"</formula>
    </cfRule>
    <cfRule type="cellIs" dxfId="0" priority="4" operator="equal">
      <formula>"Not covered"</formula>
    </cfRule>
  </conditionalFormatting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23"/>
  <sheetViews>
    <sheetView workbookViewId="0"/>
  </sheetViews>
  <sheetFormatPr defaultRowHeight="14.4" x14ac:dyDescent="0.3"/>
  <cols>
    <col min="1" max="1" width="34" customWidth="1"/>
    <col min="2" max="2" width="90" customWidth="1"/>
  </cols>
  <sheetData>
    <row r="1" spans="1:2" x14ac:dyDescent="0.3">
      <c r="A1" s="14" t="s">
        <v>282</v>
      </c>
    </row>
    <row r="2" spans="1:2" x14ac:dyDescent="0.3">
      <c r="A2" s="5" t="s">
        <v>283</v>
      </c>
      <c r="B2" s="5" t="s">
        <v>284</v>
      </c>
    </row>
    <row r="3" spans="1:2" x14ac:dyDescent="0.3">
      <c r="A3" s="6" t="s">
        <v>285</v>
      </c>
      <c r="B3" s="6" t="s">
        <v>286</v>
      </c>
    </row>
    <row r="4" spans="1:2" x14ac:dyDescent="0.3">
      <c r="A4" s="7" t="s">
        <v>287</v>
      </c>
      <c r="B4" s="7" t="s">
        <v>288</v>
      </c>
    </row>
    <row r="5" spans="1:2" ht="26.4" x14ac:dyDescent="0.3">
      <c r="A5" s="6" t="s">
        <v>289</v>
      </c>
      <c r="B5" s="6" t="s">
        <v>290</v>
      </c>
    </row>
    <row r="6" spans="1:2" ht="26.4" x14ac:dyDescent="0.3">
      <c r="A6" s="7" t="s">
        <v>291</v>
      </c>
      <c r="B6" s="7" t="s">
        <v>292</v>
      </c>
    </row>
    <row r="7" spans="1:2" x14ac:dyDescent="0.3">
      <c r="A7" s="6" t="s">
        <v>293</v>
      </c>
      <c r="B7" s="6" t="s">
        <v>294</v>
      </c>
    </row>
    <row r="9" spans="1:2" x14ac:dyDescent="0.3">
      <c r="A9" s="14" t="s">
        <v>295</v>
      </c>
    </row>
    <row r="10" spans="1:2" x14ac:dyDescent="0.3">
      <c r="A10" s="5" t="s">
        <v>296</v>
      </c>
      <c r="B10" s="5" t="s">
        <v>297</v>
      </c>
    </row>
    <row r="11" spans="1:2" ht="26.4" x14ac:dyDescent="0.3">
      <c r="A11" s="6" t="s">
        <v>298</v>
      </c>
      <c r="B11" s="6" t="s">
        <v>299</v>
      </c>
    </row>
    <row r="12" spans="1:2" x14ac:dyDescent="0.3">
      <c r="A12" s="7" t="s">
        <v>146</v>
      </c>
      <c r="B12" s="7" t="s">
        <v>300</v>
      </c>
    </row>
    <row r="13" spans="1:2" ht="26.4" x14ac:dyDescent="0.3">
      <c r="A13" s="6" t="s">
        <v>179</v>
      </c>
      <c r="B13" s="6" t="s">
        <v>301</v>
      </c>
    </row>
    <row r="14" spans="1:2" x14ac:dyDescent="0.3">
      <c r="A14" s="7" t="s">
        <v>237</v>
      </c>
      <c r="B14" s="7" t="s">
        <v>302</v>
      </c>
    </row>
    <row r="16" spans="1:2" x14ac:dyDescent="0.3">
      <c r="A16" s="14" t="s">
        <v>303</v>
      </c>
    </row>
    <row r="17" spans="1:2" x14ac:dyDescent="0.3">
      <c r="A17" s="5" t="s">
        <v>304</v>
      </c>
      <c r="B17" s="5" t="s">
        <v>305</v>
      </c>
    </row>
    <row r="18" spans="1:2" x14ac:dyDescent="0.3">
      <c r="A18" s="6" t="s">
        <v>306</v>
      </c>
      <c r="B18" s="6" t="s">
        <v>307</v>
      </c>
    </row>
    <row r="19" spans="1:2" x14ac:dyDescent="0.3">
      <c r="A19" s="7" t="s">
        <v>308</v>
      </c>
      <c r="B19" s="7" t="s">
        <v>309</v>
      </c>
    </row>
    <row r="20" spans="1:2" x14ac:dyDescent="0.3">
      <c r="A20" s="6" t="s">
        <v>310</v>
      </c>
      <c r="B20" s="6" t="s">
        <v>311</v>
      </c>
    </row>
    <row r="21" spans="1:2" x14ac:dyDescent="0.3">
      <c r="A21" s="7" t="s">
        <v>312</v>
      </c>
      <c r="B21" s="7" t="s">
        <v>313</v>
      </c>
    </row>
    <row r="22" spans="1:2" x14ac:dyDescent="0.3">
      <c r="A22" s="6" t="s">
        <v>314</v>
      </c>
      <c r="B22" s="6" t="s">
        <v>315</v>
      </c>
    </row>
    <row r="23" spans="1:2" x14ac:dyDescent="0.3">
      <c r="A23" s="7" t="s">
        <v>316</v>
      </c>
      <c r="B23" s="7" t="s">
        <v>317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Overview</vt:lpstr>
      <vt:lpstr>1.1 Questions</vt:lpstr>
      <vt:lpstr>Requirements</vt:lpstr>
      <vt:lpstr>1.2 Risk Register</vt:lpstr>
      <vt:lpstr>1.3 Test Cases</vt:lpstr>
      <vt:lpstr>Traceability</vt:lpstr>
      <vt:lpstr>1.4 Coverage</vt:lpstr>
      <vt:lpstr>'1.1 Questions'!Print_Titles</vt:lpstr>
      <vt:lpstr>'1.2 Risk Register'!Print_Titles</vt:lpstr>
      <vt:lpstr>'1.3 Test Cases'!Print_Titles</vt:lpstr>
      <vt:lpstr>Requirements!Print_Titles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saleh desouky</cp:lastModifiedBy>
  <dcterms:created xsi:type="dcterms:W3CDTF">2026-10-21T18:58:47Z</dcterms:created>
  <dcterms:modified xsi:type="dcterms:W3CDTF">2026-10-21T18:58:50Z</dcterms:modified>
</cp:coreProperties>
</file>